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d.docs.live.net/74a013db278f8586/Desktop/"/>
    </mc:Choice>
  </mc:AlternateContent>
  <xr:revisionPtr revIDLastSave="0" documentId="8_{BA0B40ED-C265-43F3-BF8D-2248983CE945}" xr6:coauthVersionLast="47" xr6:coauthVersionMax="47" xr10:uidLastSave="{00000000-0000-0000-0000-000000000000}"/>
  <workbookProtection workbookAlgorithmName="SHA-512" workbookHashValue="kfCxnAxXVUUH5sjM0D8/9g/I2/tmysS+5gPzA7Wq2eOjEHB88Ac8DZTh0PZ1E6rGDczBOeBul9OsxwOrDHwg1g==" workbookSaltValue="1C+6alZA+34JJ+IbOJaW/w==" workbookSpinCount="100000" lockStructure="1"/>
  <bookViews>
    <workbookView xWindow="-108" yWindow="-108" windowWidth="23256" windowHeight="12456" tabRatio="936" activeTab="1" xr2:uid="{00000000-000D-0000-FFFF-FFFF00000000}"/>
  </bookViews>
  <sheets>
    <sheet name="Instructions" sheetId="29" r:id="rId1"/>
    <sheet name="Product Details" sheetId="3" r:id="rId2"/>
    <sheet name="Manufacturer Profile" sheetId="25" r:id="rId3"/>
    <sheet name="Animal Materials or Ingredients" sheetId="26" r:id="rId4"/>
    <sheet name="Wood and Plant Materials" sheetId="27" r:id="rId5"/>
    <sheet name="TSCA - Required, All Chemicals" sheetId="28" r:id="rId6"/>
    <sheet name="Candles (CN)" sheetId="18" r:id="rId7"/>
    <sheet name="Change Record" sheetId="19" state="hidden" r:id="rId8"/>
    <sheet name="Decor Dropdowns" sheetId="2" state="hidden" r:id="rId9"/>
  </sheets>
  <definedNames>
    <definedName name="_xlnm._FilterDatabase" localSheetId="4" hidden="1">'Wood and Plant Materials'!$B$10:$P$10</definedName>
    <definedName name="_UOM2" localSheetId="6">#REF!</definedName>
    <definedName name="_UOM2" localSheetId="0">#REF!</definedName>
    <definedName name="_UOM2" localSheetId="5">#REF!</definedName>
    <definedName name="_UOM2" localSheetId="4">#REF!</definedName>
    <definedName name="_UOM2">#REF!</definedName>
    <definedName name="a._knit" localSheetId="0">#REF!</definedName>
    <definedName name="a._knit" localSheetId="4">#REF!</definedName>
    <definedName name="a._knit">#REF!</definedName>
    <definedName name="a._Yes" localSheetId="0">#REF!</definedName>
    <definedName name="a._Yes" localSheetId="5">#REF!</definedName>
    <definedName name="a._Yes" localSheetId="4">#REF!</definedName>
    <definedName name="a._Yes">#REF!</definedName>
    <definedName name="Agegrading" localSheetId="0">#REF!</definedName>
    <definedName name="Agegrading" localSheetId="5">#REF!</definedName>
    <definedName name="Agegrading" localSheetId="4">#REF!</definedName>
    <definedName name="Agegrading">#REF!</definedName>
    <definedName name="agent" localSheetId="0">#REF!</definedName>
    <definedName name="agent" localSheetId="5">#REF!</definedName>
    <definedName name="agent" localSheetId="4">#REF!</definedName>
    <definedName name="agent">'Decor Dropdowns'!#REF!</definedName>
    <definedName name="Animals_bred_in_captivity__from_parents_that_mated_in_captivity___C" localSheetId="0">Instructions!source</definedName>
    <definedName name="Animals_bred_in_captivity__from_parents_that_mated_in_captivity___C" localSheetId="5">'TSCA - Required, All Chemicals'!source</definedName>
    <definedName name="Animals_bred_in_captivity__from_parents_that_mated_in_captivity___C" localSheetId="4">'Wood and Plant Materials'!source</definedName>
    <definedName name="Animals_bred_in_captivity__from_parents_that_mated_in_captivity___C">source</definedName>
    <definedName name="AnimalTypes" localSheetId="0">#REF!</definedName>
    <definedName name="AnimalTypes" localSheetId="5">#REF!</definedName>
    <definedName name="AnimalTypes" localSheetId="4">#REF!</definedName>
    <definedName name="AnimalTypes">#REF!</definedName>
    <definedName name="Belt" localSheetId="0">#REF!</definedName>
    <definedName name="Belt" localSheetId="5">#REF!</definedName>
    <definedName name="Belt">#REF!</definedName>
    <definedName name="belts" localSheetId="0">#REF!</definedName>
    <definedName name="belts" localSheetId="5">#REF!</definedName>
    <definedName name="belts">#REF!</definedName>
    <definedName name="belts1" localSheetId="0">#REF!</definedName>
    <definedName name="belts1" localSheetId="5">#REF!</definedName>
    <definedName name="belts1">#REF!</definedName>
    <definedName name="Bone__camel__horn__etc" localSheetId="0">descriptiontypes</definedName>
    <definedName name="Bone__camel__horn__etc" localSheetId="5">descriptiontypes</definedName>
    <definedName name="Bone__camel__horn__etc" localSheetId="4">descriptiontypes</definedName>
    <definedName name="Bone__camel__horn__etc">descriptiontypes</definedName>
    <definedName name="braided" localSheetId="0">#REF!</definedName>
    <definedName name="braided" localSheetId="5">#REF!</definedName>
    <definedName name="braided">#REF!</definedName>
    <definedName name="Ceramics" localSheetId="0">#REF!</definedName>
    <definedName name="Ceramics" localSheetId="5">#REF!</definedName>
    <definedName name="Ceramics">#REF!</definedName>
    <definedName name="chinawood" localSheetId="0">#REF!</definedName>
    <definedName name="chinawood" localSheetId="5">#REF!</definedName>
    <definedName name="chinawood" localSheetId="4">#REF!</definedName>
    <definedName name="chinawood">#REF!</definedName>
    <definedName name="cloth" localSheetId="0">#REF!</definedName>
    <definedName name="cloth" localSheetId="5">#REF!</definedName>
    <definedName name="cloth" localSheetId="4">#REF!</definedName>
    <definedName name="cloth">#REF!</definedName>
    <definedName name="Consistency" localSheetId="0">#REF!</definedName>
    <definedName name="Consistency" localSheetId="5">#REF!</definedName>
    <definedName name="Consistency" localSheetId="4">#REF!</definedName>
    <definedName name="Consistency">#REF!</definedName>
    <definedName name="Construction" localSheetId="0">#REF!</definedName>
    <definedName name="Construction" localSheetId="5">#REF!</definedName>
    <definedName name="Construction" localSheetId="4">#REF!</definedName>
    <definedName name="Construction">#REF!</definedName>
    <definedName name="CosmeticDrugs" localSheetId="0">#REF!</definedName>
    <definedName name="CosmeticDrugs" localSheetId="5">#REF!</definedName>
    <definedName name="CosmeticDrugs">#REF!</definedName>
    <definedName name="CraftKits">#REF!</definedName>
    <definedName name="Currency" localSheetId="0">#REF!</definedName>
    <definedName name="Currency" localSheetId="5">#REF!</definedName>
    <definedName name="Currency" localSheetId="4">#REF!</definedName>
    <definedName name="Currency">#REF!</definedName>
    <definedName name="CurrencyCodes" localSheetId="3">#REF!</definedName>
    <definedName name="CurrencyCodes" localSheetId="0">#REF!</definedName>
    <definedName name="CurrencyCodes" localSheetId="5">#REF!</definedName>
    <definedName name="CurrencyCodes" localSheetId="4">#REF!</definedName>
    <definedName name="CurrencyCodes">#REF!</definedName>
    <definedName name="d" localSheetId="0">descriptiontypes</definedName>
    <definedName name="d" localSheetId="5">descriptiontypes</definedName>
    <definedName name="d" localSheetId="4">descriptiontypes</definedName>
    <definedName name="d">descriptiontypes</definedName>
    <definedName name="decitex" localSheetId="0">#REF!</definedName>
    <definedName name="decitex" localSheetId="5">#REF!</definedName>
    <definedName name="decitex">#REF!</definedName>
    <definedName name="description" localSheetId="0">#REF!</definedName>
    <definedName name="description" localSheetId="5">#REF!</definedName>
    <definedName name="description" localSheetId="4">#REF!</definedName>
    <definedName name="description">#REF!</definedName>
    <definedName name="description2" localSheetId="6">#REF!</definedName>
    <definedName name="description2" localSheetId="0">#REF!</definedName>
    <definedName name="description2" localSheetId="5">#REF!</definedName>
    <definedName name="description2" localSheetId="4">#REF!</definedName>
    <definedName name="description2">#REF!</definedName>
    <definedName name="descriptionshortlist" localSheetId="0">#REF!</definedName>
    <definedName name="descriptionshortlist" localSheetId="5">#REF!</definedName>
    <definedName name="descriptionshortlist" localSheetId="4">#REF!</definedName>
    <definedName name="descriptionshortlist">#REF!</definedName>
    <definedName name="Diameter" localSheetId="0">#REF!</definedName>
    <definedName name="Diameter" localSheetId="5">#REF!</definedName>
    <definedName name="Diameter">'Decor Dropdowns'!$E$2:$E$3</definedName>
    <definedName name="diameter1" localSheetId="6">#REF!</definedName>
    <definedName name="diameter1" localSheetId="0">#REF!</definedName>
    <definedName name="diameter1" localSheetId="5">#REF!</definedName>
    <definedName name="diameter1" localSheetId="4">#REF!</definedName>
    <definedName name="diameter1">'Decor Dropdowns'!#REF!</definedName>
    <definedName name="down" localSheetId="0">#REF!</definedName>
    <definedName name="down" localSheetId="5">#REF!</definedName>
    <definedName name="down">#REF!</definedName>
    <definedName name="fabric" localSheetId="0">#REF!</definedName>
    <definedName name="fabric" localSheetId="5">#REF!</definedName>
    <definedName name="fabric">#REF!</definedName>
    <definedName name="Facility" localSheetId="6">#REF!</definedName>
    <definedName name="facility" localSheetId="0">#REF!</definedName>
    <definedName name="facility" localSheetId="5">#REF!</definedName>
    <definedName name="facility" localSheetId="4">#REF!</definedName>
    <definedName name="facility">#REF!</definedName>
    <definedName name="FacilityType" localSheetId="0">#REF!</definedName>
    <definedName name="FacilityType" localSheetId="5">#REF!</definedName>
    <definedName name="FacilityType">#REF!</definedName>
    <definedName name="fooduse" localSheetId="0">#REF!</definedName>
    <definedName name="fooduse" localSheetId="5">#REF!</definedName>
    <definedName name="fooduse">#REF!</definedName>
    <definedName name="FWSDesc">'Animal Materials or Ingredients'!$X$2:$X$7</definedName>
    <definedName name="FWSDesc2" localSheetId="0">#REF!</definedName>
    <definedName name="FWSDesc2" localSheetId="5">#REF!</definedName>
    <definedName name="FWSDesc2">#REF!</definedName>
    <definedName name="FWSDescription" localSheetId="3">#REF!</definedName>
    <definedName name="FWSDescription" localSheetId="0">#REF!</definedName>
    <definedName name="FWSDescription" localSheetId="5">#REF!</definedName>
    <definedName name="FWSDescription" localSheetId="4">#REF!</definedName>
    <definedName name="FWSDescription">#REF!</definedName>
    <definedName name="FWSSource" localSheetId="3">'Animal Materials or Ingredients'!$Z$2:$Z$6</definedName>
    <definedName name="FWSSource" localSheetId="0">#REF!</definedName>
    <definedName name="FWSSource" localSheetId="5">#REF!</definedName>
    <definedName name="FWSSource" localSheetId="4">#REF!</definedName>
    <definedName name="FWSSource">#REF!</definedName>
    <definedName name="FWSUoM" localSheetId="3">'Animal Materials or Ingredients'!$AB$2:$AB$7</definedName>
    <definedName name="FWSUoM" localSheetId="0">#REF!</definedName>
    <definedName name="FWSUoM" localSheetId="5">#REF!</definedName>
    <definedName name="FWSUoM" localSheetId="4">#REF!</definedName>
    <definedName name="FWSUoM">#REF!</definedName>
    <definedName name="glass" localSheetId="0">#REF!</definedName>
    <definedName name="glass" localSheetId="5">#REF!</definedName>
    <definedName name="glass" localSheetId="4">#REF!</definedName>
    <definedName name="glass">#REF!</definedName>
    <definedName name="glass1" localSheetId="0">#REF!</definedName>
    <definedName name="glass1" localSheetId="5">#REF!</definedName>
    <definedName name="glass1">'Decor Dropdowns'!$G$2:$G$3</definedName>
    <definedName name="gloves" localSheetId="0">#REF!</definedName>
    <definedName name="gloves" localSheetId="5">#REF!</definedName>
    <definedName name="gloves">#REF!</definedName>
    <definedName name="glovesnew" localSheetId="0">#REF!</definedName>
    <definedName name="glovesnew" localSheetId="5">#REF!</definedName>
    <definedName name="glovesnew">#REF!</definedName>
    <definedName name="hat" localSheetId="0">#REF!</definedName>
    <definedName name="hat" localSheetId="5">#REF!</definedName>
    <definedName name="hat">#REF!</definedName>
    <definedName name="hatnew" localSheetId="0">#REF!</definedName>
    <definedName name="hatnew" localSheetId="5">#REF!</definedName>
    <definedName name="hatnew">#REF!</definedName>
    <definedName name="hats" localSheetId="0">#REF!</definedName>
    <definedName name="hats" localSheetId="5">#REF!</definedName>
    <definedName name="hats">#REF!</definedName>
    <definedName name="hem" localSheetId="0">#REF!</definedName>
    <definedName name="hem" localSheetId="5">#REF!</definedName>
    <definedName name="hem">#REF!</definedName>
    <definedName name="household" localSheetId="0">#REF!</definedName>
    <definedName name="household" localSheetId="5">#REF!</definedName>
    <definedName name="household" localSheetId="4">#REF!</definedName>
    <definedName name="household">'Decor Dropdowns'!#REF!</definedName>
    <definedName name="HTSstitches" localSheetId="0">#REF!</definedName>
    <definedName name="HTSstitches" localSheetId="5">#REF!</definedName>
    <definedName name="HTSstitches">#REF!</definedName>
    <definedName name="HTSstraps" localSheetId="0">#REF!</definedName>
    <definedName name="HTSstraps" localSheetId="5">#REF!</definedName>
    <definedName name="HTSstraps">#REF!</definedName>
    <definedName name="HTSstrapsw" localSheetId="0">#REF!</definedName>
    <definedName name="HTSstrapsw" localSheetId="5">#REF!</definedName>
    <definedName name="HTSstrapsw">#REF!</definedName>
    <definedName name="HTSyesno" localSheetId="0">#REF!</definedName>
    <definedName name="HTSyesno" localSheetId="5">#REF!</definedName>
    <definedName name="HTSyesno">#REF!</definedName>
    <definedName name="InnerContainerType" localSheetId="3">#REF!</definedName>
    <definedName name="InnerContainerType" localSheetId="0">#REF!</definedName>
    <definedName name="InnerContainerType" localSheetId="5">#REF!</definedName>
    <definedName name="InnerContainerType" localSheetId="4">#REF!</definedName>
    <definedName name="InnerContainerType">#REF!</definedName>
    <definedName name="InnerMaterialType" localSheetId="3">#REF!</definedName>
    <definedName name="InnerMaterialType" localSheetId="0">#REF!</definedName>
    <definedName name="InnerMaterialType" localSheetId="5">#REF!</definedName>
    <definedName name="InnerMaterialType" localSheetId="4">#REF!</definedName>
    <definedName name="InnerMaterialType">#REF!</definedName>
    <definedName name="jacket" localSheetId="0">#REF!</definedName>
    <definedName name="jacket" localSheetId="5">#REF!</definedName>
    <definedName name="jacket">#REF!</definedName>
    <definedName name="kg" localSheetId="6">#REF!</definedName>
    <definedName name="kg" localSheetId="0">#REF!</definedName>
    <definedName name="kg" localSheetId="5">#REF!</definedName>
    <definedName name="kg" localSheetId="4">#REF!</definedName>
    <definedName name="kg">'Decor Dropdowns'!#REF!</definedName>
    <definedName name="knit" localSheetId="0">#REF!</definedName>
    <definedName name="knit" localSheetId="5">#REF!</definedName>
    <definedName name="knit">#REF!</definedName>
    <definedName name="knitwoven" localSheetId="0">#REF!</definedName>
    <definedName name="knitwoven" localSheetId="5">#REF!</definedName>
    <definedName name="knitwoven">#REF!</definedName>
    <definedName name="label" localSheetId="0">#REF!</definedName>
    <definedName name="label" localSheetId="5">#REF!</definedName>
    <definedName name="label">#REF!</definedName>
    <definedName name="labels" localSheetId="0">#REF!</definedName>
    <definedName name="labels" localSheetId="5">#REF!</definedName>
    <definedName name="labels">#REF!</definedName>
    <definedName name="lenght" localSheetId="0">#REF!</definedName>
    <definedName name="lenght" localSheetId="5">#REF!</definedName>
    <definedName name="lenght">#REF!</definedName>
    <definedName name="length" localSheetId="0">#REF!</definedName>
    <definedName name="length" localSheetId="5">#REF!</definedName>
    <definedName name="length" localSheetId="4">#REF!</definedName>
    <definedName name="length">#REF!</definedName>
    <definedName name="lurex" localSheetId="0">#REF!</definedName>
    <definedName name="lurex" localSheetId="5">#REF!</definedName>
    <definedName name="lurex">#REF!</definedName>
    <definedName name="ManufacturerDropD">'Manufacturer Profile'!$G$1:$G$4</definedName>
    <definedName name="Material" localSheetId="0">#REF!</definedName>
    <definedName name="Material" localSheetId="5">#REF!</definedName>
    <definedName name="Material" localSheetId="4">#REF!</definedName>
    <definedName name="Material">#REF!</definedName>
    <definedName name="MedicalDev" localSheetId="0">#REF!</definedName>
    <definedName name="MedicalDev" localSheetId="5">#REF!</definedName>
    <definedName name="MedicalDev">#REF!</definedName>
    <definedName name="metal" localSheetId="0">#REF!</definedName>
    <definedName name="metal" localSheetId="5">#REF!</definedName>
    <definedName name="metal" localSheetId="4">#REF!</definedName>
    <definedName name="metal">#REF!</definedName>
    <definedName name="metal1" localSheetId="0">#REF!</definedName>
    <definedName name="metal1" localSheetId="5">#REF!</definedName>
    <definedName name="metal1">'Decor Dropdowns'!$E$2:$E$7</definedName>
    <definedName name="metalnew" localSheetId="3">#REF!</definedName>
    <definedName name="metalnew" localSheetId="6">#REF!</definedName>
    <definedName name="metalnew" localSheetId="0">#REF!</definedName>
    <definedName name="metalnew" localSheetId="5">#REF!</definedName>
    <definedName name="metalnew" localSheetId="4">#REF!</definedName>
    <definedName name="metalnew">'Decor Dropdowns'!$E$2:$E$12</definedName>
    <definedName name="MFRFacilityType" localSheetId="7">#REF!</definedName>
    <definedName name="MFRFacilityType" localSheetId="0">#REF!</definedName>
    <definedName name="MFRFacilityType" localSheetId="5">#REF!</definedName>
    <definedName name="MFRFacilityType" localSheetId="4">#REF!</definedName>
    <definedName name="MFRFacilityType">#REF!</definedName>
    <definedName name="Months" localSheetId="3">#REF!</definedName>
    <definedName name="Months" localSheetId="0">#REF!</definedName>
    <definedName name="Months" localSheetId="5">#REF!</definedName>
    <definedName name="Months" localSheetId="4">#REF!</definedName>
    <definedName name="Months">#REF!</definedName>
    <definedName name="napkins" localSheetId="0">#REF!</definedName>
    <definedName name="napkins" localSheetId="5">#REF!</definedName>
    <definedName name="napkins" localSheetId="4">#REF!</definedName>
    <definedName name="napkins">#REF!</definedName>
    <definedName name="Origin_Conferring" localSheetId="3">#REF!</definedName>
    <definedName name="Origin_Conferring" localSheetId="0">#REF!</definedName>
    <definedName name="Origin_Conferring" localSheetId="5">#REF!</definedName>
    <definedName name="Origin_Conferring" localSheetId="4">#REF!</definedName>
    <definedName name="Origin_Conferring">'Decor Dropdowns'!#REF!</definedName>
    <definedName name="OuterContainerType" localSheetId="3">#REF!</definedName>
    <definedName name="OuterContainerType" localSheetId="0">#REF!</definedName>
    <definedName name="OuterContainerType" localSheetId="5">#REF!</definedName>
    <definedName name="OuterContainerType" localSheetId="4">#REF!</definedName>
    <definedName name="OuterContainerType">#REF!</definedName>
    <definedName name="OuterMaterialType" localSheetId="3">#REF!</definedName>
    <definedName name="OuterMaterialType" localSheetId="0">#REF!</definedName>
    <definedName name="OuterMaterialType" localSheetId="5">#REF!</definedName>
    <definedName name="OuterMaterialType" localSheetId="4">#REF!</definedName>
    <definedName name="OuterMaterialType">#REF!</definedName>
    <definedName name="Packaging" localSheetId="0">#REF!</definedName>
    <definedName name="Packaging" localSheetId="5">#REF!</definedName>
    <definedName name="Packaging" localSheetId="4">#REF!</definedName>
    <definedName name="Packaging">#REF!</definedName>
    <definedName name="packing" localSheetId="0">#REF!</definedName>
    <definedName name="packing" localSheetId="5">#REF!</definedName>
    <definedName name="packing" localSheetId="4">#REF!</definedName>
    <definedName name="packing">#REF!</definedName>
    <definedName name="paper" localSheetId="0">#REF!</definedName>
    <definedName name="paper" localSheetId="5">#REF!</definedName>
    <definedName name="paper" localSheetId="4">#REF!</definedName>
    <definedName name="paper">#REF!</definedName>
    <definedName name="paper1" localSheetId="0">#REF!</definedName>
    <definedName name="paper1" localSheetId="5">#REF!</definedName>
    <definedName name="paper1">'Decor Dropdowns'!$I$2:$I$5</definedName>
    <definedName name="paper2" localSheetId="6">#REF!</definedName>
    <definedName name="paper2" localSheetId="0">#REF!</definedName>
    <definedName name="paper2" localSheetId="5">#REF!</definedName>
    <definedName name="paper2" localSheetId="4">#REF!</definedName>
    <definedName name="paper2">'Decor Dropdowns'!$I$2:$I$6</definedName>
    <definedName name="PCS___Pieces" localSheetId="0">Instructions!UOM</definedName>
    <definedName name="PCS___Pieces" localSheetId="5">'TSCA - Required, All Chemicals'!UOM</definedName>
    <definedName name="PCS___Pieces" localSheetId="4">'Wood and Plant Materials'!UOM</definedName>
    <definedName name="PCS___Pieces">UOM</definedName>
    <definedName name="Pencil" localSheetId="0">#REF!</definedName>
    <definedName name="Pencil" localSheetId="5">#REF!</definedName>
    <definedName name="Pencil" localSheetId="4">#REF!</definedName>
    <definedName name="Pencil">#REF!</definedName>
    <definedName name="placement" localSheetId="0">#REF!</definedName>
    <definedName name="placement" localSheetId="5">#REF!</definedName>
    <definedName name="placement" localSheetId="4">#REF!</definedName>
    <definedName name="placement">#REF!</definedName>
    <definedName name="placement1" localSheetId="6">#REF!</definedName>
    <definedName name="placement1" localSheetId="0">#REF!</definedName>
    <definedName name="placement1" localSheetId="5">#REF!</definedName>
    <definedName name="placement1" localSheetId="4">#REF!</definedName>
    <definedName name="placement1">'Decor Dropdowns'!$A$2:$A$4</definedName>
    <definedName name="placement2" localSheetId="0">#REF!</definedName>
    <definedName name="placement2" localSheetId="5">#REF!</definedName>
    <definedName name="placement2" localSheetId="4">#REF!</definedName>
    <definedName name="placement2">'Decor Dropdowns'!#REF!</definedName>
    <definedName name="_xlnm.Print_Area" localSheetId="3">'Animal Materials or Ingredients'!$B$1:$R$12</definedName>
    <definedName name="_xlnm.Print_Area" localSheetId="6">'Candles (CN)'!$B$1:$O$11</definedName>
    <definedName name="_xlnm.Print_Area" localSheetId="0">Instructions!$B$2:$L$54</definedName>
    <definedName name="_xlnm.Print_Area" localSheetId="5">'TSCA - Required, All Chemicals'!$C$3:$M$47</definedName>
    <definedName name="_xlnm.Print_Area" localSheetId="4">'Wood and Plant Materials'!$B$1:$O$10</definedName>
    <definedName name="_xlnm.Print_Titles" localSheetId="1">'Product Details'!$B:$R,'Product Details'!$1:$10</definedName>
    <definedName name="s" localSheetId="0">descriptiontypes</definedName>
    <definedName name="s" localSheetId="5">descriptiontypes</definedName>
    <definedName name="s" localSheetId="4">descriptiontypes</definedName>
    <definedName name="s">descriptiontypes</definedName>
    <definedName name="scarf" localSheetId="0">#REF!</definedName>
    <definedName name="scarf" localSheetId="5">#REF!</definedName>
    <definedName name="scarf">#REF!</definedName>
    <definedName name="scarfs" localSheetId="0">#REF!</definedName>
    <definedName name="scarfs" localSheetId="5">#REF!</definedName>
    <definedName name="scarfs">#REF!</definedName>
    <definedName name="scarves" localSheetId="0">#REF!</definedName>
    <definedName name="scarves" localSheetId="5">#REF!</definedName>
    <definedName name="scarves">#REF!</definedName>
    <definedName name="seamedlined" localSheetId="0">#REF!</definedName>
    <definedName name="seamedlined" localSheetId="5">#REF!</definedName>
    <definedName name="seamedlined">#REF!</definedName>
    <definedName name="socks" localSheetId="0">#REF!</definedName>
    <definedName name="socks" localSheetId="5">#REF!</definedName>
    <definedName name="socks">#REF!</definedName>
    <definedName name="source" localSheetId="0">#REF!</definedName>
    <definedName name="source" localSheetId="5">#REF!</definedName>
    <definedName name="source" localSheetId="4">#REF!</definedName>
    <definedName name="source">#REF!</definedName>
    <definedName name="source2" localSheetId="6">#REF!</definedName>
    <definedName name="source2" localSheetId="0">#REF!</definedName>
    <definedName name="source2" localSheetId="5">#REF!</definedName>
    <definedName name="source2" localSheetId="4">#REF!</definedName>
    <definedName name="source2">#REF!</definedName>
    <definedName name="stitch" localSheetId="0">#REF!</definedName>
    <definedName name="stitch" localSheetId="5">#REF!</definedName>
    <definedName name="stitch">#REF!</definedName>
    <definedName name="stitches" localSheetId="0">#REF!</definedName>
    <definedName name="stitches" localSheetId="5">#REF!</definedName>
    <definedName name="stitches">#REF!</definedName>
    <definedName name="strap" localSheetId="0">#REF!</definedName>
    <definedName name="strap" localSheetId="5">#REF!</definedName>
    <definedName name="strap">#REF!</definedName>
    <definedName name="straps" localSheetId="0">#REF!</definedName>
    <definedName name="straps" localSheetId="5">#REF!</definedName>
    <definedName name="straps">#REF!</definedName>
    <definedName name="strips" localSheetId="0">#REF!</definedName>
    <definedName name="strips" localSheetId="5">#REF!</definedName>
    <definedName name="strips">#REF!</definedName>
    <definedName name="surface" localSheetId="0">#REF!</definedName>
    <definedName name="surface" localSheetId="5">#REF!</definedName>
    <definedName name="surface" localSheetId="4">#REF!</definedName>
    <definedName name="surface">'Decor Dropdowns'!#REF!</definedName>
    <definedName name="tie" localSheetId="0">#REF!</definedName>
    <definedName name="tie" localSheetId="5">#REF!</definedName>
    <definedName name="tie">#REF!</definedName>
    <definedName name="tights" localSheetId="0">#REF!</definedName>
    <definedName name="tights" localSheetId="5">#REF!</definedName>
    <definedName name="tights">#REF!</definedName>
    <definedName name="towel" localSheetId="0">#REF!</definedName>
    <definedName name="towel" localSheetId="5">#REF!</definedName>
    <definedName name="towel" localSheetId="4">#REF!</definedName>
    <definedName name="towel">#REF!</definedName>
    <definedName name="Towelnew" localSheetId="0">#REF!</definedName>
    <definedName name="Towelnew" localSheetId="5">#REF!</definedName>
    <definedName name="Towelnew" localSheetId="4">#REF!</definedName>
    <definedName name="Towelnew">#REF!</definedName>
    <definedName name="Unit" localSheetId="0">#REF!</definedName>
    <definedName name="Unit" localSheetId="5">#REF!</definedName>
    <definedName name="Unit">'Decor Dropdowns'!$C$2:$C$5</definedName>
    <definedName name="unit1" localSheetId="0">#REF!</definedName>
    <definedName name="unit1" localSheetId="5">#REF!</definedName>
    <definedName name="unit1" localSheetId="4">#REF!</definedName>
    <definedName name="unit1">'Decor Dropdowns'!#REF!</definedName>
    <definedName name="unit2" localSheetId="0">#REF!</definedName>
    <definedName name="unit2" localSheetId="5">#REF!</definedName>
    <definedName name="unit2" localSheetId="4">#REF!</definedName>
    <definedName name="unit2">'Decor Dropdowns'!#REF!</definedName>
    <definedName name="unitnew" localSheetId="0">#REF!</definedName>
    <definedName name="unitnew" localSheetId="5">#REF!</definedName>
    <definedName name="unitnew" localSheetId="4">#REF!</definedName>
    <definedName name="unitnew">#REF!</definedName>
    <definedName name="UOM" localSheetId="0">#REF!</definedName>
    <definedName name="UOM" localSheetId="5">#REF!</definedName>
    <definedName name="UOM" localSheetId="4">#REF!</definedName>
    <definedName name="UOM">#REF!</definedName>
    <definedName name="USDADiameter" localSheetId="3">#REF!</definedName>
    <definedName name="USDADiameter" localSheetId="5">#REF!</definedName>
    <definedName name="USDADiameter" localSheetId="4">'Wood and Plant Materials'!$Z$3:$Z$5</definedName>
    <definedName name="USDADiameter">#REF!</definedName>
    <definedName name="USDAMaterial" localSheetId="0">#REF!</definedName>
    <definedName name="USDAMaterial" localSheetId="5">#REF!</definedName>
    <definedName name="USDAMaterial">#REF!</definedName>
    <definedName name="USDAUoM" localSheetId="3">#REF!</definedName>
    <definedName name="USDAUoM" localSheetId="5">#REF!</definedName>
    <definedName name="USDAUoM" localSheetId="4">'Wood and Plant Materials'!$X$3:$X$7</definedName>
    <definedName name="USDAUoM">#REF!</definedName>
    <definedName name="USDAWoodType" localSheetId="3">#REF!</definedName>
    <definedName name="USDAWoodType" localSheetId="0">#REF!</definedName>
    <definedName name="USDAWoodType" localSheetId="5">#REF!</definedName>
    <definedName name="USDAWoodType" localSheetId="4">#REF!</definedName>
    <definedName name="USDAWoodType">#REF!</definedName>
    <definedName name="USDAYesNo" localSheetId="0">#REF!</definedName>
    <definedName name="USDAYesNo" localSheetId="5">#REF!</definedName>
    <definedName name="USDAYesNo">#REF!</definedName>
    <definedName name="USDAYorN" localSheetId="3">#REF!</definedName>
    <definedName name="USDAYorN" localSheetId="0">#REF!</definedName>
    <definedName name="USDAYorN" localSheetId="5">#REF!</definedName>
    <definedName name="USDAYorN" localSheetId="4">#REF!</definedName>
    <definedName name="USDAYorN">#REF!</definedName>
    <definedName name="Use" localSheetId="0">#REF!</definedName>
    <definedName name="Use" localSheetId="5">#REF!</definedName>
    <definedName name="Use" localSheetId="4">#REF!</definedName>
    <definedName name="Use">#REF!</definedName>
    <definedName name="Using" localSheetId="0">Instructions!description</definedName>
    <definedName name="Using" localSheetId="5">'TSCA - Required, All Chemicals'!description</definedName>
    <definedName name="Using" localSheetId="4">'Wood and Plant Materials'!description</definedName>
    <definedName name="Using">description</definedName>
    <definedName name="weave" localSheetId="0">#REF!</definedName>
    <definedName name="weave" localSheetId="5">#REF!</definedName>
    <definedName name="weave" localSheetId="4">#REF!</definedName>
    <definedName name="weave">#REF!</definedName>
    <definedName name="weavenew" localSheetId="0">#REF!</definedName>
    <definedName name="weavenew" localSheetId="5">#REF!</definedName>
    <definedName name="weavenew" localSheetId="4">#REF!</definedName>
    <definedName name="weavenew">#REF!</definedName>
    <definedName name="Wood" localSheetId="0">#REF!</definedName>
    <definedName name="Wood" localSheetId="5">#REF!</definedName>
    <definedName name="Wood">'Decor Dropdowns'!$A$2:$A$6</definedName>
    <definedName name="wood1" localSheetId="6">#REF!</definedName>
    <definedName name="wood1" localSheetId="0">#REF!</definedName>
    <definedName name="wood1" localSheetId="5">#REF!</definedName>
    <definedName name="wood1" localSheetId="4">#REF!</definedName>
    <definedName name="wood1">'Decor Dropdowns'!$C$2:$C$6</definedName>
    <definedName name="woodnew" localSheetId="0">#REF!</definedName>
    <definedName name="woodnew" localSheetId="5">#REF!</definedName>
    <definedName name="woodnew" localSheetId="4">#REF!</definedName>
    <definedName name="woodnew">#REF!</definedName>
    <definedName name="YesNo" localSheetId="6">#REF!</definedName>
    <definedName name="YesNo" localSheetId="0">#REF!</definedName>
    <definedName name="YesNo" localSheetId="5">#REF!</definedName>
    <definedName name="yesno">'Decor Dropdowns'!#REF!</definedName>
    <definedName name="YesNoDropDown">#REF!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0" i="18" l="1"/>
  <c r="C60" i="18"/>
  <c r="B60" i="18"/>
  <c r="E59" i="18"/>
  <c r="C59" i="18"/>
  <c r="B59" i="18"/>
  <c r="E58" i="18"/>
  <c r="C58" i="18"/>
  <c r="B58" i="18"/>
  <c r="E57" i="18"/>
  <c r="C57" i="18"/>
  <c r="B57" i="18"/>
  <c r="E56" i="18"/>
  <c r="C56" i="18"/>
  <c r="B56" i="18"/>
  <c r="E55" i="18"/>
  <c r="C55" i="18"/>
  <c r="B55" i="18"/>
  <c r="E54" i="18"/>
  <c r="C54" i="18"/>
  <c r="B54" i="18"/>
  <c r="E53" i="18"/>
  <c r="C53" i="18"/>
  <c r="B53" i="18"/>
  <c r="E52" i="18"/>
  <c r="C52" i="18"/>
  <c r="B52" i="18"/>
  <c r="E51" i="18"/>
  <c r="C51" i="18"/>
  <c r="B51" i="18"/>
  <c r="E50" i="18"/>
  <c r="C50" i="18"/>
  <c r="B50" i="18"/>
  <c r="E49" i="18"/>
  <c r="C49" i="18"/>
  <c r="B49" i="18"/>
  <c r="E48" i="18"/>
  <c r="C48" i="18"/>
  <c r="B48" i="18"/>
  <c r="E47" i="18"/>
  <c r="C47" i="18"/>
  <c r="B47" i="18"/>
  <c r="E46" i="18"/>
  <c r="C46" i="18"/>
  <c r="B46" i="18"/>
  <c r="E45" i="18"/>
  <c r="C45" i="18"/>
  <c r="B45" i="18"/>
  <c r="E44" i="18"/>
  <c r="C44" i="18"/>
  <c r="B44" i="18"/>
  <c r="E43" i="18"/>
  <c r="C43" i="18"/>
  <c r="B43" i="18"/>
  <c r="E42" i="18"/>
  <c r="C42" i="18"/>
  <c r="B42" i="18"/>
  <c r="E41" i="18"/>
  <c r="C41" i="18"/>
  <c r="B41" i="18"/>
  <c r="E40" i="18"/>
  <c r="C40" i="18"/>
  <c r="B40" i="18"/>
  <c r="E39" i="18"/>
  <c r="C39" i="18"/>
  <c r="B39" i="18"/>
  <c r="E38" i="18"/>
  <c r="C38" i="18"/>
  <c r="B38" i="18"/>
  <c r="E37" i="18"/>
  <c r="C37" i="18"/>
  <c r="B37" i="18"/>
  <c r="E36" i="18"/>
  <c r="C36" i="18"/>
  <c r="B36" i="18"/>
  <c r="D61" i="27"/>
  <c r="C61" i="27"/>
  <c r="B61" i="27"/>
  <c r="D60" i="27"/>
  <c r="C60" i="27"/>
  <c r="B60" i="27"/>
  <c r="D59" i="27"/>
  <c r="C59" i="27"/>
  <c r="B59" i="27"/>
  <c r="D58" i="27"/>
  <c r="C58" i="27"/>
  <c r="B58" i="27"/>
  <c r="D57" i="27"/>
  <c r="C57" i="27"/>
  <c r="B57" i="27"/>
  <c r="D56" i="27"/>
  <c r="C56" i="27"/>
  <c r="B56" i="27"/>
  <c r="D55" i="27"/>
  <c r="C55" i="27"/>
  <c r="B55" i="27"/>
  <c r="D54" i="27"/>
  <c r="C54" i="27"/>
  <c r="B54" i="27"/>
  <c r="D53" i="27"/>
  <c r="C53" i="27"/>
  <c r="B53" i="27"/>
  <c r="D52" i="27"/>
  <c r="C52" i="27"/>
  <c r="B52" i="27"/>
  <c r="D51" i="27"/>
  <c r="C51" i="27"/>
  <c r="B51" i="27"/>
  <c r="D50" i="27"/>
  <c r="C50" i="27"/>
  <c r="B50" i="27"/>
  <c r="D49" i="27"/>
  <c r="C49" i="27"/>
  <c r="B49" i="27"/>
  <c r="D48" i="27"/>
  <c r="C48" i="27"/>
  <c r="B48" i="27"/>
  <c r="D47" i="27"/>
  <c r="C47" i="27"/>
  <c r="B47" i="27"/>
  <c r="D46" i="27"/>
  <c r="C46" i="27"/>
  <c r="B46" i="27"/>
  <c r="D45" i="27"/>
  <c r="C45" i="27"/>
  <c r="B45" i="27"/>
  <c r="D44" i="27"/>
  <c r="C44" i="27"/>
  <c r="B44" i="27"/>
  <c r="D43" i="27"/>
  <c r="C43" i="27"/>
  <c r="B43" i="27"/>
  <c r="D42" i="27"/>
  <c r="C42" i="27"/>
  <c r="B42" i="27"/>
  <c r="D41" i="27"/>
  <c r="C41" i="27"/>
  <c r="B41" i="27"/>
  <c r="D40" i="27"/>
  <c r="C40" i="27"/>
  <c r="B40" i="27"/>
  <c r="D39" i="27"/>
  <c r="C39" i="27"/>
  <c r="B39" i="27"/>
  <c r="D38" i="27"/>
  <c r="C38" i="27"/>
  <c r="B38" i="27"/>
  <c r="D37" i="27"/>
  <c r="C37" i="27"/>
  <c r="B37" i="27"/>
  <c r="E61" i="26"/>
  <c r="D61" i="26"/>
  <c r="C61" i="26"/>
  <c r="B61" i="26"/>
  <c r="E60" i="26"/>
  <c r="D60" i="26"/>
  <c r="C60" i="26"/>
  <c r="B60" i="26"/>
  <c r="E59" i="26"/>
  <c r="D59" i="26"/>
  <c r="C59" i="26"/>
  <c r="B59" i="26"/>
  <c r="E58" i="26"/>
  <c r="D58" i="26"/>
  <c r="C58" i="26"/>
  <c r="B58" i="26"/>
  <c r="E57" i="26"/>
  <c r="D57" i="26"/>
  <c r="C57" i="26"/>
  <c r="B57" i="26"/>
  <c r="E56" i="26"/>
  <c r="D56" i="26"/>
  <c r="C56" i="26"/>
  <c r="B56" i="26"/>
  <c r="E55" i="26"/>
  <c r="D55" i="26"/>
  <c r="C55" i="26"/>
  <c r="B55" i="26"/>
  <c r="E54" i="26"/>
  <c r="D54" i="26"/>
  <c r="C54" i="26"/>
  <c r="B54" i="26"/>
  <c r="E53" i="26"/>
  <c r="D53" i="26"/>
  <c r="C53" i="26"/>
  <c r="B53" i="26"/>
  <c r="E52" i="26"/>
  <c r="D52" i="26"/>
  <c r="C52" i="26"/>
  <c r="B52" i="26"/>
  <c r="E51" i="26"/>
  <c r="D51" i="26"/>
  <c r="C51" i="26"/>
  <c r="B51" i="26"/>
  <c r="E50" i="26"/>
  <c r="D50" i="26"/>
  <c r="C50" i="26"/>
  <c r="B50" i="26"/>
  <c r="E49" i="26"/>
  <c r="D49" i="26"/>
  <c r="C49" i="26"/>
  <c r="B49" i="26"/>
  <c r="E48" i="26"/>
  <c r="D48" i="26"/>
  <c r="C48" i="26"/>
  <c r="B48" i="26"/>
  <c r="E47" i="26"/>
  <c r="D47" i="26"/>
  <c r="C47" i="26"/>
  <c r="B47" i="26"/>
  <c r="E46" i="26"/>
  <c r="D46" i="26"/>
  <c r="C46" i="26"/>
  <c r="B46" i="26"/>
  <c r="E45" i="26"/>
  <c r="D45" i="26"/>
  <c r="C45" i="26"/>
  <c r="B45" i="26"/>
  <c r="E44" i="26"/>
  <c r="D44" i="26"/>
  <c r="C44" i="26"/>
  <c r="B44" i="26"/>
  <c r="E43" i="26"/>
  <c r="D43" i="26"/>
  <c r="C43" i="26"/>
  <c r="B43" i="26"/>
  <c r="E42" i="26"/>
  <c r="D42" i="26"/>
  <c r="C42" i="26"/>
  <c r="B42" i="26"/>
  <c r="E41" i="26"/>
  <c r="D41" i="26"/>
  <c r="C41" i="26"/>
  <c r="B41" i="26"/>
  <c r="E40" i="26"/>
  <c r="D40" i="26"/>
  <c r="C40" i="26"/>
  <c r="B40" i="26"/>
  <c r="E39" i="26"/>
  <c r="D39" i="26"/>
  <c r="C39" i="26"/>
  <c r="B39" i="26"/>
  <c r="E38" i="26"/>
  <c r="D38" i="26"/>
  <c r="C38" i="26"/>
  <c r="B38" i="26"/>
  <c r="E37" i="26"/>
  <c r="D37" i="26"/>
  <c r="C37" i="26"/>
  <c r="B37" i="26"/>
  <c r="AS60" i="3"/>
  <c r="AQ60" i="3"/>
  <c r="AS59" i="3"/>
  <c r="AQ59" i="3"/>
  <c r="AS58" i="3"/>
  <c r="AQ58" i="3"/>
  <c r="AS57" i="3"/>
  <c r="AQ57" i="3"/>
  <c r="AS56" i="3"/>
  <c r="AQ56" i="3"/>
  <c r="AS55" i="3"/>
  <c r="AQ55" i="3"/>
  <c r="AS54" i="3"/>
  <c r="AQ54" i="3"/>
  <c r="AS53" i="3"/>
  <c r="AQ53" i="3"/>
  <c r="AS52" i="3"/>
  <c r="AQ52" i="3"/>
  <c r="AS51" i="3"/>
  <c r="AQ51" i="3"/>
  <c r="AS50" i="3"/>
  <c r="AQ50" i="3"/>
  <c r="AS49" i="3"/>
  <c r="AQ49" i="3"/>
  <c r="AS48" i="3"/>
  <c r="AQ48" i="3"/>
  <c r="AS47" i="3"/>
  <c r="AQ47" i="3"/>
  <c r="AS46" i="3"/>
  <c r="AQ46" i="3"/>
  <c r="AS45" i="3"/>
  <c r="AQ45" i="3"/>
  <c r="AS44" i="3"/>
  <c r="AQ44" i="3"/>
  <c r="AS43" i="3"/>
  <c r="AQ43" i="3"/>
  <c r="AS42" i="3"/>
  <c r="AQ42" i="3"/>
  <c r="AS41" i="3"/>
  <c r="AQ41" i="3"/>
  <c r="AS40" i="3"/>
  <c r="AQ40" i="3"/>
  <c r="AS39" i="3"/>
  <c r="AQ39" i="3"/>
  <c r="AS38" i="3"/>
  <c r="AQ38" i="3"/>
  <c r="AS37" i="3"/>
  <c r="AQ37" i="3"/>
  <c r="AS36" i="3"/>
  <c r="AQ36" i="3"/>
  <c r="E35" i="18"/>
  <c r="C35" i="18"/>
  <c r="B35" i="18"/>
  <c r="E34" i="18"/>
  <c r="C34" i="18"/>
  <c r="B34" i="18"/>
  <c r="E33" i="18"/>
  <c r="C33" i="18"/>
  <c r="B33" i="18"/>
  <c r="E32" i="18"/>
  <c r="C32" i="18"/>
  <c r="B32" i="18"/>
  <c r="E31" i="18"/>
  <c r="C31" i="18"/>
  <c r="B31" i="18"/>
  <c r="E30" i="18"/>
  <c r="C30" i="18"/>
  <c r="B30" i="18"/>
  <c r="E29" i="18"/>
  <c r="C29" i="18"/>
  <c r="B29" i="18"/>
  <c r="E28" i="18"/>
  <c r="C28" i="18"/>
  <c r="B28" i="18"/>
  <c r="E27" i="18"/>
  <c r="C27" i="18"/>
  <c r="B27" i="18"/>
  <c r="E26" i="18"/>
  <c r="C26" i="18"/>
  <c r="B26" i="18"/>
  <c r="E25" i="18"/>
  <c r="C25" i="18"/>
  <c r="B25" i="18"/>
  <c r="E24" i="18"/>
  <c r="C24" i="18"/>
  <c r="B24" i="18"/>
  <c r="E23" i="18"/>
  <c r="C23" i="18"/>
  <c r="B23" i="18"/>
  <c r="E22" i="18"/>
  <c r="C22" i="18"/>
  <c r="B22" i="18"/>
  <c r="E21" i="18"/>
  <c r="C21" i="18"/>
  <c r="B21" i="18"/>
  <c r="E20" i="18"/>
  <c r="C20" i="18"/>
  <c r="B20" i="18"/>
  <c r="E19" i="18"/>
  <c r="C19" i="18"/>
  <c r="B19" i="18"/>
  <c r="E18" i="18"/>
  <c r="C18" i="18"/>
  <c r="B18" i="18"/>
  <c r="E17" i="18"/>
  <c r="C17" i="18"/>
  <c r="B17" i="18"/>
  <c r="E16" i="18"/>
  <c r="C16" i="18"/>
  <c r="B16" i="18"/>
  <c r="E15" i="18"/>
  <c r="C15" i="18"/>
  <c r="B15" i="18"/>
  <c r="E14" i="18"/>
  <c r="C14" i="18"/>
  <c r="B14" i="18"/>
  <c r="E13" i="18"/>
  <c r="C13" i="18"/>
  <c r="B13" i="18"/>
  <c r="E12" i="18"/>
  <c r="C12" i="18"/>
  <c r="B12" i="18"/>
  <c r="E11" i="18"/>
  <c r="C11" i="18"/>
  <c r="B11" i="18"/>
  <c r="D36" i="27"/>
  <c r="C36" i="27"/>
  <c r="B36" i="27"/>
  <c r="D35" i="27"/>
  <c r="C35" i="27"/>
  <c r="B35" i="27"/>
  <c r="D34" i="27"/>
  <c r="C34" i="27"/>
  <c r="B34" i="27"/>
  <c r="D33" i="27"/>
  <c r="C33" i="27"/>
  <c r="B33" i="27"/>
  <c r="D32" i="27"/>
  <c r="C32" i="27"/>
  <c r="B32" i="27"/>
  <c r="D31" i="27"/>
  <c r="C31" i="27"/>
  <c r="B31" i="27"/>
  <c r="D30" i="27"/>
  <c r="C30" i="27"/>
  <c r="B30" i="27"/>
  <c r="D29" i="27"/>
  <c r="C29" i="27"/>
  <c r="B29" i="27"/>
  <c r="D28" i="27"/>
  <c r="C28" i="27"/>
  <c r="B28" i="27"/>
  <c r="D27" i="27"/>
  <c r="C27" i="27"/>
  <c r="B27" i="27"/>
  <c r="D26" i="27"/>
  <c r="C26" i="27"/>
  <c r="B26" i="27"/>
  <c r="D25" i="27"/>
  <c r="C25" i="27"/>
  <c r="B25" i="27"/>
  <c r="D24" i="27"/>
  <c r="C24" i="27"/>
  <c r="B24" i="27"/>
  <c r="D23" i="27"/>
  <c r="C23" i="27"/>
  <c r="B23" i="27"/>
  <c r="D22" i="27"/>
  <c r="C22" i="27"/>
  <c r="B22" i="27"/>
  <c r="D21" i="27"/>
  <c r="C21" i="27"/>
  <c r="B21" i="27"/>
  <c r="D20" i="27"/>
  <c r="C20" i="27"/>
  <c r="B20" i="27"/>
  <c r="D19" i="27"/>
  <c r="C19" i="27"/>
  <c r="B19" i="27"/>
  <c r="D18" i="27"/>
  <c r="C18" i="27"/>
  <c r="B18" i="27"/>
  <c r="D17" i="27"/>
  <c r="C17" i="27"/>
  <c r="B17" i="27"/>
  <c r="D16" i="27"/>
  <c r="C16" i="27"/>
  <c r="B16" i="27"/>
  <c r="D15" i="27"/>
  <c r="C15" i="27"/>
  <c r="B15" i="27"/>
  <c r="D14" i="27"/>
  <c r="C14" i="27"/>
  <c r="B14" i="27"/>
  <c r="D13" i="27"/>
  <c r="C13" i="27"/>
  <c r="B13" i="27"/>
  <c r="D12" i="27"/>
  <c r="C12" i="27"/>
  <c r="B12" i="27"/>
  <c r="E36" i="26"/>
  <c r="D36" i="26"/>
  <c r="C36" i="26"/>
  <c r="B36" i="26"/>
  <c r="E35" i="26"/>
  <c r="D35" i="26"/>
  <c r="C35" i="26"/>
  <c r="B35" i="26"/>
  <c r="E34" i="26"/>
  <c r="D34" i="26"/>
  <c r="C34" i="26"/>
  <c r="B34" i="26"/>
  <c r="E33" i="26"/>
  <c r="D33" i="26"/>
  <c r="C33" i="26"/>
  <c r="B33" i="26"/>
  <c r="E32" i="26"/>
  <c r="D32" i="26"/>
  <c r="C32" i="26"/>
  <c r="B32" i="26"/>
  <c r="E31" i="26"/>
  <c r="D31" i="26"/>
  <c r="C31" i="26"/>
  <c r="B31" i="26"/>
  <c r="E30" i="26"/>
  <c r="D30" i="26"/>
  <c r="C30" i="26"/>
  <c r="B30" i="26"/>
  <c r="E29" i="26"/>
  <c r="D29" i="26"/>
  <c r="C29" i="26"/>
  <c r="B29" i="26"/>
  <c r="E28" i="26"/>
  <c r="D28" i="26"/>
  <c r="C28" i="26"/>
  <c r="B28" i="26"/>
  <c r="E27" i="26"/>
  <c r="D27" i="26"/>
  <c r="C27" i="26"/>
  <c r="B27" i="26"/>
  <c r="E26" i="26"/>
  <c r="D26" i="26"/>
  <c r="C26" i="26"/>
  <c r="B26" i="26"/>
  <c r="E25" i="26"/>
  <c r="D25" i="26"/>
  <c r="C25" i="26"/>
  <c r="B25" i="26"/>
  <c r="E24" i="26"/>
  <c r="D24" i="26"/>
  <c r="C24" i="26"/>
  <c r="B24" i="26"/>
  <c r="E23" i="26"/>
  <c r="D23" i="26"/>
  <c r="C23" i="26"/>
  <c r="B23" i="26"/>
  <c r="E22" i="26"/>
  <c r="D22" i="26"/>
  <c r="C22" i="26"/>
  <c r="B22" i="26"/>
  <c r="E21" i="26"/>
  <c r="D21" i="26"/>
  <c r="C21" i="26"/>
  <c r="B21" i="26"/>
  <c r="E20" i="26"/>
  <c r="D20" i="26"/>
  <c r="C20" i="26"/>
  <c r="B20" i="26"/>
  <c r="E19" i="26"/>
  <c r="D19" i="26"/>
  <c r="C19" i="26"/>
  <c r="B19" i="26"/>
  <c r="E18" i="26"/>
  <c r="D18" i="26"/>
  <c r="C18" i="26"/>
  <c r="B18" i="26"/>
  <c r="E17" i="26"/>
  <c r="D17" i="26"/>
  <c r="C17" i="26"/>
  <c r="B17" i="26"/>
  <c r="E16" i="26"/>
  <c r="D16" i="26"/>
  <c r="C16" i="26"/>
  <c r="B16" i="26"/>
  <c r="E15" i="26"/>
  <c r="D15" i="26"/>
  <c r="C15" i="26"/>
  <c r="B15" i="26"/>
  <c r="E14" i="26"/>
  <c r="D14" i="26"/>
  <c r="C14" i="26"/>
  <c r="B14" i="26"/>
  <c r="E13" i="26"/>
  <c r="D13" i="26"/>
  <c r="C13" i="26"/>
  <c r="B13" i="26"/>
  <c r="E12" i="26"/>
  <c r="D12" i="26"/>
  <c r="C12" i="26"/>
  <c r="B12" i="26"/>
  <c r="AS35" i="3"/>
  <c r="AS34" i="3"/>
  <c r="AS33" i="3"/>
  <c r="AS32" i="3"/>
  <c r="AS31" i="3"/>
  <c r="AS30" i="3"/>
  <c r="AS29" i="3"/>
  <c r="AS28" i="3"/>
  <c r="AS27" i="3"/>
  <c r="AS26" i="3"/>
  <c r="AS25" i="3"/>
  <c r="AS24" i="3"/>
  <c r="AS23" i="3"/>
  <c r="AS22" i="3"/>
  <c r="AS21" i="3"/>
  <c r="AS20" i="3"/>
  <c r="AS19" i="3"/>
  <c r="AS18" i="3"/>
  <c r="AS17" i="3"/>
  <c r="AS16" i="3"/>
  <c r="AS15" i="3"/>
  <c r="AS14" i="3"/>
  <c r="AS13" i="3"/>
  <c r="AS12" i="3"/>
  <c r="AS11" i="3"/>
  <c r="AQ12" i="3"/>
  <c r="AQ13" i="3"/>
  <c r="AQ14" i="3"/>
  <c r="AQ15" i="3"/>
  <c r="AQ16" i="3"/>
  <c r="AQ17" i="3"/>
  <c r="AQ18" i="3"/>
  <c r="AQ19" i="3"/>
  <c r="AQ20" i="3"/>
  <c r="AQ21" i="3"/>
  <c r="AQ22" i="3"/>
  <c r="AQ23" i="3"/>
  <c r="AQ24" i="3"/>
  <c r="AQ25" i="3"/>
  <c r="AQ26" i="3"/>
  <c r="AQ27" i="3"/>
  <c r="AQ28" i="3"/>
  <c r="AQ29" i="3"/>
  <c r="AQ30" i="3"/>
  <c r="AQ31" i="3"/>
  <c r="AQ32" i="3"/>
  <c r="AQ33" i="3"/>
  <c r="AQ34" i="3"/>
  <c r="AQ35" i="3"/>
  <c r="AQ11" i="3"/>
</calcChain>
</file>

<file path=xl/sharedStrings.xml><?xml version="1.0" encoding="utf-8"?>
<sst xmlns="http://schemas.openxmlformats.org/spreadsheetml/2006/main" count="544" uniqueCount="413">
  <si>
    <t>DÉCOR &amp; MISCELLANEOUS</t>
  </si>
  <si>
    <t xml:space="preserve">TJX USA PRODUCT SPECIFICATIONS </t>
  </si>
  <si>
    <t>REQUIRED FOR ALL STYLES</t>
  </si>
  <si>
    <t>PRODUCT SPECIFIC DETAILS</t>
  </si>
  <si>
    <t>WOOD</t>
  </si>
  <si>
    <t>AGGLOMERATED STONE / POLYRESIN</t>
  </si>
  <si>
    <t>METAL</t>
  </si>
  <si>
    <t xml:space="preserve">PAPER   </t>
  </si>
  <si>
    <t>TEXTILE</t>
  </si>
  <si>
    <t>GLASS</t>
  </si>
  <si>
    <t>GLASS or CERAMIC</t>
  </si>
  <si>
    <t>MIRRORS</t>
  </si>
  <si>
    <t>CANDLEHOLDERS</t>
  </si>
  <si>
    <t>CANDLE</t>
  </si>
  <si>
    <t xml:space="preserve">FURNITURE </t>
  </si>
  <si>
    <t>CURTAIN RODS</t>
  </si>
  <si>
    <t xml:space="preserve">BOXES </t>
  </si>
  <si>
    <t xml:space="preserve">HOUSEHOLD CLEANERS </t>
  </si>
  <si>
    <t>SOAP / LOTION DISPENSERS</t>
  </si>
  <si>
    <t xml:space="preserve">CLOCKS   </t>
  </si>
  <si>
    <t>PO#(s)</t>
  </si>
  <si>
    <t>Style Image</t>
  </si>
  <si>
    <t>List all ingredients in order of predominance OR insert a picture of the label with all ingredients clearly visible.</t>
  </si>
  <si>
    <t>Country of Origin</t>
  </si>
  <si>
    <t>Placement</t>
  </si>
  <si>
    <t>Wood</t>
  </si>
  <si>
    <t>Metal</t>
  </si>
  <si>
    <t>Glass</t>
  </si>
  <si>
    <t>Paper</t>
  </si>
  <si>
    <t>a. 20% or more of natural stone</t>
  </si>
  <si>
    <t>a. tabletop</t>
  </si>
  <si>
    <t>a. natural wood</t>
  </si>
  <si>
    <t>a. aluminum</t>
  </si>
  <si>
    <t xml:space="preserve">a. paper mache                                           </t>
  </si>
  <si>
    <t>b.  less than 20% of natural stone</t>
  </si>
  <si>
    <t>b. floor standing</t>
  </si>
  <si>
    <t>b. reclaimed, reused, or driftwood</t>
  </si>
  <si>
    <t>b. copper</t>
  </si>
  <si>
    <t xml:space="preserve">b. paper pulp                                       </t>
  </si>
  <si>
    <t>c. imitation / synthetic stone</t>
  </si>
  <si>
    <t>c. hanging</t>
  </si>
  <si>
    <t>c. MDF, particleboard, or similar composite wood</t>
  </si>
  <si>
    <t>c. brass</t>
  </si>
  <si>
    <t>c. plain glass (none of the above)</t>
  </si>
  <si>
    <t>c. paperboard</t>
  </si>
  <si>
    <t>d. none of the above</t>
  </si>
  <si>
    <t>d. combination of natural wood and MDF/composite wood</t>
  </si>
  <si>
    <t>d. iron (cast)</t>
  </si>
  <si>
    <t xml:space="preserve">d. interwoven/plaited paper strips                                       </t>
  </si>
  <si>
    <t>e. combination of natural wood and reclaimed/reused/driftwood</t>
  </si>
  <si>
    <t>e. iron (not cast)</t>
  </si>
  <si>
    <t>e. plain paper</t>
  </si>
  <si>
    <t>f. stainless steel</t>
  </si>
  <si>
    <t>g. steel (including carbon steel</t>
  </si>
  <si>
    <t>Glass Construction</t>
  </si>
  <si>
    <t>h. tinplate (steel coated with tin)</t>
  </si>
  <si>
    <t>i.  tin</t>
  </si>
  <si>
    <t>j.  zinc</t>
  </si>
  <si>
    <t>k. other</t>
  </si>
  <si>
    <t>Style#</t>
  </si>
  <si>
    <t>Manufacturer Profile</t>
  </si>
  <si>
    <t>Facility Name</t>
  </si>
  <si>
    <t>Country</t>
  </si>
  <si>
    <t>Facility Address line 1</t>
  </si>
  <si>
    <t>Facility Address line 2</t>
  </si>
  <si>
    <t>Prov./Terr./State</t>
  </si>
  <si>
    <t>Postal Code</t>
  </si>
  <si>
    <t>Contact Person</t>
  </si>
  <si>
    <t>Phone</t>
  </si>
  <si>
    <t>E-mail</t>
  </si>
  <si>
    <t xml:space="preserve">Product Specification Template 
Instructions </t>
  </si>
  <si>
    <t>The information collected on this document is relied upon by TJX U.S. divisions to comply with U.S. Customs and other government agency import requirements. Incomplete, incorrect, or late submission of this information may lead to shipping delays or order cancellation.</t>
  </si>
  <si>
    <t>A product template MUST be completed for every Vendor Style</t>
  </si>
  <si>
    <t>Complete and submit this document to TJX's Trade Compliance Service Providers as soon as possible after Purchase Order is issued</t>
  </si>
  <si>
    <t>Product Details tab AND Manufacturer tab must be completed for ALL Vendor Styles</t>
  </si>
  <si>
    <t>TJX's Trade Compliance Service Providers will complete Classification / HTS and ISF information validation as soon as possible upon submission</t>
  </si>
  <si>
    <t>Additional information may be required for certain items. See the Special Instructions section below for details</t>
  </si>
  <si>
    <t xml:space="preserve">Vendors will be allowed to submit a Freight Forwarder booking after the ISF information has been completed </t>
  </si>
  <si>
    <t>Special Instructions:</t>
  </si>
  <si>
    <t>Manufacturers</t>
  </si>
  <si>
    <t>Provide the full name and address of the factory where the goods are manufactured or produced</t>
  </si>
  <si>
    <t>Sets</t>
  </si>
  <si>
    <t>Complete this tab for any styles containing wood or plant materials.</t>
  </si>
  <si>
    <t>Candles</t>
  </si>
  <si>
    <t>Journals, Notebooks</t>
  </si>
  <si>
    <t>Pencils</t>
  </si>
  <si>
    <t>Clay, Paste, Paint</t>
  </si>
  <si>
    <t>Household Cleaners, Fragrance</t>
  </si>
  <si>
    <t>ANIMAL MATERIALS OR INGREDIENTS (US FISH &amp; WILDLIFE SERVICE / FWS)</t>
  </si>
  <si>
    <t>TJX USA PRODUCT SPECIFICATIONS</t>
  </si>
  <si>
    <t xml:space="preserve">REQUIRED FOR CITES REGULATED ANIMAL SPECIES </t>
  </si>
  <si>
    <t>FWS MATERIAL INFORMATION</t>
  </si>
  <si>
    <t xml:space="preserve">Common name </t>
  </si>
  <si>
    <t xml:space="preserve">Genus </t>
  </si>
  <si>
    <t xml:space="preserve">Species </t>
  </si>
  <si>
    <t>Foreign CITES Permit #</t>
  </si>
  <si>
    <t>Description Drop Downs</t>
  </si>
  <si>
    <t>Source Drop Downs</t>
  </si>
  <si>
    <t>UoM Drop Downs</t>
  </si>
  <si>
    <t>a. Bone (camel, horn, etc)</t>
  </si>
  <si>
    <t>a. Animals BORN in captivity (from parents that mated in the wild)</t>
  </si>
  <si>
    <t>KG - Kilograms</t>
  </si>
  <si>
    <t>b. Feathers (peacock, etc)</t>
  </si>
  <si>
    <t>b. Animals BRED in captivity (from parents that mated in captivity)</t>
  </si>
  <si>
    <t>M- Meters</t>
  </si>
  <si>
    <t>c. Fur (genuine fur, NOT faux fur)</t>
  </si>
  <si>
    <t>c. Specimens taken from the WILD</t>
  </si>
  <si>
    <t>M2 - Square Meters</t>
  </si>
  <si>
    <t>d. Leather/skin (including reptile/ other exotic animal)</t>
  </si>
  <si>
    <t>d. Other (Please TYPE in)</t>
  </si>
  <si>
    <t>M3 - Cubic Meters</t>
  </si>
  <si>
    <t>e. Shells (mother of pearl, capiz, etc)</t>
  </si>
  <si>
    <t>PCS - Pieces</t>
  </si>
  <si>
    <t>f. Other (Please TYPE in)</t>
  </si>
  <si>
    <t>WOOD OR PLANT MATERIALS (US DEPT. OF AGRICULTURE / USDA)</t>
  </si>
  <si>
    <t>REQUIRED FOR WOOD</t>
  </si>
  <si>
    <t>WOOD INFORMATION</t>
  </si>
  <si>
    <t>NATURAL WOOD</t>
  </si>
  <si>
    <t>PER UNIT / PIECE WOOD MATERIAL INFORMATION</t>
  </si>
  <si>
    <t>Genus</t>
  </si>
  <si>
    <t>Species</t>
  </si>
  <si>
    <t>Unit</t>
  </si>
  <si>
    <t>Diameter</t>
  </si>
  <si>
    <t>Wood Outer Surface Area</t>
  </si>
  <si>
    <t>a. Natural wood</t>
  </si>
  <si>
    <t>kg</t>
  </si>
  <si>
    <t>a. yes</t>
  </si>
  <si>
    <t>b. Reclaimed, reused, or driftwood</t>
  </si>
  <si>
    <t>m</t>
  </si>
  <si>
    <t>b. 1 cm (.39 inches) or more in width/diameter</t>
  </si>
  <si>
    <t>b. no</t>
  </si>
  <si>
    <t>m2</t>
  </si>
  <si>
    <t>d. Combination of natural wood and MDF/composite wood</t>
  </si>
  <si>
    <t>m3</t>
  </si>
  <si>
    <t>e. Combination of natural wood and reclaimed/reused/driftwood</t>
  </si>
  <si>
    <r>
      <t xml:space="preserve">TSCA CERTIFICATION
TOXIC SUBSTANCE CONTROL ACT
</t>
    </r>
    <r>
      <rPr>
        <sz val="8"/>
        <color indexed="8"/>
        <rFont val="Calibri"/>
        <family val="2"/>
      </rPr>
      <t>Version 1  October 2013</t>
    </r>
  </si>
  <si>
    <t>"I certify that all chemical substances in this shipment comply with all applicable rules or orders under TSCA and that I am not offering a chemical substance for entry in violation of TSCA or any applicable rule or order under TSCA."</t>
  </si>
  <si>
    <r>
      <t xml:space="preserve">Style Number
</t>
    </r>
    <r>
      <rPr>
        <sz val="10"/>
        <color indexed="8"/>
        <rFont val="Calibri"/>
        <family val="2"/>
      </rPr>
      <t xml:space="preserve">as listed on PO #(s) </t>
    </r>
  </si>
  <si>
    <t>Style Description</t>
  </si>
  <si>
    <t>Name of Authorized Company Representative:</t>
  </si>
  <si>
    <t>Date:</t>
  </si>
  <si>
    <t>Electronic Signature:</t>
  </si>
  <si>
    <t>Title:</t>
  </si>
  <si>
    <t>TJX USA ANTI-DUMPING DUTIES (ADD) / COUNTERVAILING DUTIES (CVD) PRODUCT SPECIFICATIONS</t>
  </si>
  <si>
    <t>Product Description</t>
  </si>
  <si>
    <t>Yes</t>
  </si>
  <si>
    <t>No</t>
  </si>
  <si>
    <t>CANDLES - MADE IN CHINA</t>
  </si>
  <si>
    <t>SOY, PALM, OR 
NON-PARRAFIN / PETROLEUM  WAX CANDLE</t>
  </si>
  <si>
    <t>CITRONELLA CANDLE</t>
  </si>
  <si>
    <t>BIRTHDAY CANDLES</t>
  </si>
  <si>
    <t xml:space="preserve">Style#     </t>
  </si>
  <si>
    <t>Wax ingredients by %</t>
  </si>
  <si>
    <t># of Candles per pack</t>
  </si>
  <si>
    <t>Manufacturer Name
(Location where wick 
inserted into wax)</t>
  </si>
  <si>
    <t>Country of Origin
(Country where wick
inserted into wax)</t>
  </si>
  <si>
    <t>Document Change Record</t>
  </si>
  <si>
    <t>Date Updated</t>
  </si>
  <si>
    <t>Tab(s) Updated</t>
  </si>
  <si>
    <t>Change Detail</t>
  </si>
  <si>
    <t>Updated By</t>
  </si>
  <si>
    <t>Comments</t>
  </si>
  <si>
    <t>All</t>
  </si>
  <si>
    <t>T. Travis</t>
  </si>
  <si>
    <t>City/Town/District</t>
  </si>
  <si>
    <t>(Vendor name)</t>
  </si>
  <si>
    <t>, hereby declare the following:</t>
  </si>
  <si>
    <t>H. Creegan
T. Travis</t>
  </si>
  <si>
    <t>Journals Notebooks ADD stand alone doc reversioned to Oct 2023.</t>
  </si>
  <si>
    <t xml:space="preserve">Is the furniture for indoor or outdoor use? </t>
  </si>
  <si>
    <t>Indoor</t>
  </si>
  <si>
    <t>Outdoor</t>
  </si>
  <si>
    <t>What room is the furniture primarily intended for?</t>
  </si>
  <si>
    <t xml:space="preserve">Bedroom </t>
  </si>
  <si>
    <t>Dining/Kitchen</t>
  </si>
  <si>
    <t>Living</t>
  </si>
  <si>
    <t>Other</t>
  </si>
  <si>
    <t>Bathroom</t>
  </si>
  <si>
    <r>
      <t xml:space="preserve">Product Description 
</t>
    </r>
    <r>
      <rPr>
        <sz val="11"/>
        <color indexed="9"/>
        <rFont val="Franklin Gothic Book"/>
        <family val="2"/>
      </rPr>
      <t>(include holiday motif, if applicable)</t>
    </r>
  </si>
  <si>
    <r>
      <rPr>
        <sz val="11"/>
        <color indexed="9"/>
        <rFont val="Franklin Gothic Book"/>
        <family val="2"/>
      </rPr>
      <t xml:space="preserve"> Provide 
</t>
    </r>
    <r>
      <rPr>
        <b/>
        <sz val="11"/>
        <color indexed="9"/>
        <rFont val="Franklin Gothic Book"/>
        <family val="2"/>
      </rPr>
      <t>UNIT FIRST COST</t>
    </r>
  </si>
  <si>
    <r>
      <rPr>
        <sz val="11"/>
        <color indexed="9"/>
        <rFont val="Franklin Gothic Book"/>
        <family val="2"/>
      </rPr>
      <t xml:space="preserve">Provide </t>
    </r>
    <r>
      <rPr>
        <b/>
        <sz val="11"/>
        <color indexed="9"/>
        <rFont val="Franklin Gothic Book"/>
        <family val="2"/>
      </rPr>
      <t>CURRENCY</t>
    </r>
  </si>
  <si>
    <t>f. layers of pressed paper</t>
  </si>
  <si>
    <t>a. crystal containing 24% or more lead</t>
  </si>
  <si>
    <t>b. crystal containing less than 24% lead</t>
  </si>
  <si>
    <t>a. decorated inside the body of the glass</t>
  </si>
  <si>
    <t>b. etched, engraved, or cut</t>
  </si>
  <si>
    <r>
      <t xml:space="preserve">Weight
</t>
    </r>
    <r>
      <rPr>
        <sz val="11"/>
        <color theme="0"/>
        <rFont val="Franklin Gothic Book"/>
        <family val="2"/>
      </rPr>
      <t>(in kg)</t>
    </r>
  </si>
  <si>
    <r>
      <t xml:space="preserve">Material Composition 
</t>
    </r>
    <r>
      <rPr>
        <sz val="11"/>
        <color indexed="9"/>
        <rFont val="Franklin Gothic Book"/>
        <family val="2"/>
      </rPr>
      <t>(If multiple materials; provide % of each material used on exterior surface &amp; interior / structural frame)</t>
    </r>
  </si>
  <si>
    <t>Please select an answer</t>
  </si>
  <si>
    <r>
      <t xml:space="preserve">Specify 
TYPE OF WOOD      
</t>
    </r>
    <r>
      <rPr>
        <sz val="11"/>
        <color rgb="FFFFFFFF"/>
        <rFont val="Franklin Gothic Book"/>
        <family val="2"/>
      </rPr>
      <t>and fill out the Wood and Plant Materials Tab</t>
    </r>
  </si>
  <si>
    <t xml:space="preserve">Specify 
NATURAL STONE (%)   
</t>
  </si>
  <si>
    <r>
      <rPr>
        <sz val="11"/>
        <color indexed="9"/>
        <rFont val="Franklin Gothic Book"/>
        <family val="2"/>
      </rPr>
      <t>Specify</t>
    </r>
    <r>
      <rPr>
        <b/>
        <sz val="11"/>
        <color indexed="9"/>
        <rFont val="Franklin Gothic Book"/>
        <family val="2"/>
      </rPr>
      <t xml:space="preserve"> 
Type of metal with highest % of weight
</t>
    </r>
  </si>
  <si>
    <r>
      <t xml:space="preserve">Specify 
</t>
    </r>
    <r>
      <rPr>
        <b/>
        <sz val="11"/>
        <color indexed="9"/>
        <rFont val="Franklin Gothic Book"/>
        <family val="2"/>
      </rPr>
      <t xml:space="preserve">Type of Paper 
</t>
    </r>
  </si>
  <si>
    <r>
      <rPr>
        <sz val="11"/>
        <color indexed="9"/>
        <rFont val="Franklin Gothic Book"/>
        <family val="2"/>
      </rPr>
      <t xml:space="preserve">Specify 
</t>
    </r>
    <r>
      <rPr>
        <b/>
        <sz val="11"/>
        <color indexed="9"/>
        <rFont val="Franklin Gothic Book"/>
        <family val="2"/>
      </rPr>
      <t xml:space="preserve">TYPE OF GLASS </t>
    </r>
  </si>
  <si>
    <r>
      <t xml:space="preserve">Specify 
</t>
    </r>
    <r>
      <rPr>
        <b/>
        <sz val="11"/>
        <color indexed="9"/>
        <rFont val="Franklin Gothic Book"/>
        <family val="2"/>
      </rPr>
      <t xml:space="preserve">Fiber Content 
</t>
    </r>
    <r>
      <rPr>
        <sz val="11"/>
        <color indexed="9"/>
        <rFont val="Franklin Gothic Book"/>
        <family val="2"/>
      </rPr>
      <t>(% by weight)</t>
    </r>
  </si>
  <si>
    <r>
      <rPr>
        <sz val="11"/>
        <color indexed="9"/>
        <rFont val="Franklin Gothic Book"/>
        <family val="2"/>
      </rPr>
      <t xml:space="preserve">Specify 
</t>
    </r>
    <r>
      <rPr>
        <b/>
        <sz val="11"/>
        <color indexed="9"/>
        <rFont val="Franklin Gothic Book"/>
        <family val="2"/>
      </rPr>
      <t xml:space="preserve">TYPE OF CONSTRUCTION
</t>
    </r>
    <r>
      <rPr>
        <sz val="11"/>
        <color indexed="9"/>
        <rFont val="Franklin Gothic Book"/>
        <family val="2"/>
      </rPr>
      <t>(decorated inside the body of the glass = i.e. metal flecking, thread/ribbon-like, bubbles, etc.)</t>
    </r>
  </si>
  <si>
    <t>Currency must match PO currency</t>
  </si>
  <si>
    <t xml:space="preserve">If the furniture is made of plastic, please specify: </t>
  </si>
  <si>
    <t>resin strengthened with glass fibers</t>
  </si>
  <si>
    <t>calcium carbonate</t>
  </si>
  <si>
    <t>layers of laminated plastic</t>
  </si>
  <si>
    <t>not reinforced/not laminated</t>
  </si>
  <si>
    <t xml:space="preserve">Please select an answer </t>
  </si>
  <si>
    <t xml:space="preserve">Is this style food-safe / meant for direct food contact? </t>
  </si>
  <si>
    <t>If from China, please fill out Candles tab</t>
  </si>
  <si>
    <t xml:space="preserve">Please complete the Wood and Plant Materials tab for all wooden boxes. </t>
  </si>
  <si>
    <r>
      <rPr>
        <b/>
        <sz val="11"/>
        <color rgb="FFFFFFFF"/>
        <rFont val="Franklin Gothic Book"/>
        <family val="2"/>
      </rPr>
      <t xml:space="preserve">Specify the following: </t>
    </r>
    <r>
      <rPr>
        <sz val="11"/>
        <color indexed="9"/>
        <rFont val="Franklin Gothic Book"/>
        <family val="2"/>
      </rPr>
      <t xml:space="preserve">
</t>
    </r>
    <r>
      <rPr>
        <sz val="11"/>
        <color rgb="FFFFFFFF"/>
        <rFont val="Franklin Gothic Book"/>
        <family val="2"/>
      </rPr>
      <t xml:space="preserve">                       
1. type of box (i.e. jewelry, storage, trinket)
2.  if wood, specify if lined w/ textiles OR not lined w/ textiles</t>
    </r>
  </si>
  <si>
    <r>
      <rPr>
        <b/>
        <sz val="11"/>
        <color rgb="FFFFFFFF"/>
        <rFont val="Franklin Gothic Book"/>
        <family val="2"/>
      </rPr>
      <t>Specify the following:</t>
    </r>
    <r>
      <rPr>
        <sz val="11"/>
        <color indexed="9"/>
        <rFont val="Franklin Gothic Book"/>
        <family val="2"/>
      </rPr>
      <t xml:space="preserve">
</t>
    </r>
    <r>
      <rPr>
        <sz val="11"/>
        <color rgb="FFFFFFFF"/>
        <rFont val="Franklin Gothic Book"/>
        <family val="2"/>
      </rPr>
      <t xml:space="preserve">
1. movement component size / diameter (in mm) 
2. cost breakdown of case, movement, &amp; battery (if included)
3. currency</t>
    </r>
  </si>
  <si>
    <r>
      <rPr>
        <b/>
        <sz val="11"/>
        <color rgb="FFFFFFFF"/>
        <rFont val="Franklin Gothic Book"/>
        <family val="2"/>
      </rPr>
      <t xml:space="preserve">Specify the following: </t>
    </r>
    <r>
      <rPr>
        <sz val="11"/>
        <color indexed="9"/>
        <rFont val="Franklin Gothic Book"/>
        <family val="2"/>
      </rPr>
      <t xml:space="preserve">
1. Wax ingredients by %
2. Size / type (votive, pillar, etc.)
3. Poured in candleholder vs. loose candle </t>
    </r>
  </si>
  <si>
    <t xml:space="preserve">Does the candleholder have a pick or spike to hold the candle? </t>
  </si>
  <si>
    <r>
      <rPr>
        <b/>
        <sz val="11"/>
        <color rgb="FFFFFFFF"/>
        <rFont val="Franklin Gothic Book"/>
        <family val="2"/>
      </rPr>
      <t xml:space="preserve">If NO, provide: </t>
    </r>
    <r>
      <rPr>
        <sz val="11"/>
        <color indexed="9"/>
        <rFont val="Franklin Gothic Book"/>
        <family val="2"/>
      </rPr>
      <t xml:space="preserve">      
- Diameter/Width (in inches) of portion that holds candle                                        
- Height/Depth (in inches) of portion that holds candle</t>
    </r>
  </si>
  <si>
    <t>TISSUE PAPER</t>
  </si>
  <si>
    <t>Is the tissue paper cut-to-length?</t>
  </si>
  <si>
    <t>How is the tissue paper processed?</t>
  </si>
  <si>
    <t>Is the tissue paper flat or folded?</t>
  </si>
  <si>
    <t>How is the tissue paper packaged?</t>
  </si>
  <si>
    <t>Bleached</t>
  </si>
  <si>
    <t>Flat</t>
  </si>
  <si>
    <t>Banding or wrapping with paper or film</t>
  </si>
  <si>
    <t>Not-bleached</t>
  </si>
  <si>
    <t>Folded</t>
  </si>
  <si>
    <t>Placing in plastic or film bags</t>
  </si>
  <si>
    <t>Dye-colored</t>
  </si>
  <si>
    <t>Placing in boxes for distribution and use by consumer</t>
  </si>
  <si>
    <t>Surface-colored</t>
  </si>
  <si>
    <t>Glazed</t>
  </si>
  <si>
    <t>Surface decorated</t>
  </si>
  <si>
    <t>Printed</t>
  </si>
  <si>
    <t>Sequined</t>
  </si>
  <si>
    <t>Crinkled</t>
  </si>
  <si>
    <t>Embossed</t>
  </si>
  <si>
    <t>Die-cut</t>
  </si>
  <si>
    <t>LAUNDRY BASKETS</t>
  </si>
  <si>
    <t xml:space="preserve">Does the laundry basket sit on the floor, or is it portable? </t>
  </si>
  <si>
    <t>Portable</t>
  </si>
  <si>
    <t>Floorstanding</t>
  </si>
  <si>
    <t>AUDIO ELECTRONICS</t>
  </si>
  <si>
    <t>CD player</t>
  </si>
  <si>
    <t xml:space="preserve">Does it contain an integrated speaker? </t>
  </si>
  <si>
    <t xml:space="preserve">Does it contain a USB port, AUX port, or Bluetooth connectivity? </t>
  </si>
  <si>
    <t>USB</t>
  </si>
  <si>
    <t>AUX</t>
  </si>
  <si>
    <t>Bluetooth</t>
  </si>
  <si>
    <t xml:space="preserve">Does it operate on battery power or a power cord? </t>
  </si>
  <si>
    <t>Battery powered</t>
  </si>
  <si>
    <t>Power cord</t>
  </si>
  <si>
    <t>Both</t>
  </si>
  <si>
    <t xml:space="preserve">Does it contain an AM/FM radio or a clock? </t>
  </si>
  <si>
    <t>AM/FM radio</t>
  </si>
  <si>
    <t>Clock</t>
  </si>
  <si>
    <t>Is capable of recording</t>
  </si>
  <si>
    <t>Combination of two or more of the above</t>
  </si>
  <si>
    <t xml:space="preserve">Does the style have recording capabilities? </t>
  </si>
  <si>
    <t>Playback only</t>
  </si>
  <si>
    <t>Yellow cells are required</t>
  </si>
  <si>
    <t>Product Details</t>
  </si>
  <si>
    <t>hcreegan</t>
  </si>
  <si>
    <t>need to break out paper products and furniture to their own PT</t>
  </si>
  <si>
    <t>January 2024</t>
  </si>
  <si>
    <t>REQUIRED FOR ALL STYLES CONTAINING FISH OR WILDLIFE MATERIALS/INGREDIENTS</t>
  </si>
  <si>
    <r>
      <t xml:space="preserve">Description
</t>
    </r>
    <r>
      <rPr>
        <sz val="11"/>
        <color indexed="9"/>
        <rFont val="Franklin Gothic Book"/>
        <family val="2"/>
      </rPr>
      <t>(Select from drop down list)</t>
    </r>
  </si>
  <si>
    <t>REQUIRED FOR ALL STYLES CONTAINING WOOD OR PLANT MATERIAL</t>
  </si>
  <si>
    <t>Wood and Plant Material Information</t>
  </si>
  <si>
    <t xml:space="preserve"> Wood or Plant Material Component(s) Description 
</t>
  </si>
  <si>
    <r>
      <t xml:space="preserve">Country of Origin 
</t>
    </r>
    <r>
      <rPr>
        <b/>
        <u/>
        <sz val="11"/>
        <color indexed="9"/>
        <rFont val="Franklin Gothic Book"/>
        <family val="2"/>
      </rPr>
      <t>of the wood or plant material</t>
    </r>
  </si>
  <si>
    <t>ex: Pine</t>
  </si>
  <si>
    <t>ex: Pinus</t>
  </si>
  <si>
    <t>ex: radiata</t>
  </si>
  <si>
    <r>
      <t>Wood Material Type</t>
    </r>
    <r>
      <rPr>
        <b/>
        <sz val="11"/>
        <color indexed="9"/>
        <rFont val="Franklin Gothic Book"/>
        <family val="2"/>
      </rPr>
      <t xml:space="preserve"> 
</t>
    </r>
  </si>
  <si>
    <t xml:space="preserve">Is the outer surface area of the wood machine smoothed? </t>
  </si>
  <si>
    <r>
      <t xml:space="preserve">Quantity of wood materials used to make </t>
    </r>
    <r>
      <rPr>
        <b/>
        <u/>
        <sz val="11"/>
        <color indexed="9"/>
        <rFont val="Franklin Gothic Book"/>
        <family val="2"/>
      </rPr>
      <t>each unit/piece</t>
    </r>
    <r>
      <rPr>
        <b/>
        <sz val="11"/>
        <color indexed="9"/>
        <rFont val="Franklin Gothic Book"/>
        <family val="2"/>
      </rPr>
      <t xml:space="preserve"> 
</t>
    </r>
  </si>
  <si>
    <t>Unit of Measure</t>
  </si>
  <si>
    <t>Select from drop down list</t>
  </si>
  <si>
    <t>Must provide as one of the following: kg, m, m2, m3</t>
  </si>
  <si>
    <r>
      <t xml:space="preserve">Required For </t>
    </r>
    <r>
      <rPr>
        <b/>
        <u/>
        <sz val="11"/>
        <color theme="0"/>
        <rFont val="Franklin Gothic Book"/>
        <family val="2"/>
      </rPr>
      <t>China Origin</t>
    </r>
    <r>
      <rPr>
        <b/>
        <sz val="11"/>
        <color theme="0"/>
        <rFont val="Franklin Gothic Book"/>
        <family val="2"/>
      </rPr>
      <t xml:space="preserve"> Natural Wood Products 
with ONE of the following:
</t>
    </r>
    <r>
      <rPr>
        <sz val="11"/>
        <color theme="0"/>
        <rFont val="Franklin Gothic Book"/>
        <family val="2"/>
      </rPr>
      <t>- Bark Attached 
- Un-Sanded / Rough Surfaces</t>
    </r>
  </si>
  <si>
    <t>Measurement of Natural Wood Material</t>
  </si>
  <si>
    <r>
      <t xml:space="preserve">Treatment information
</t>
    </r>
    <r>
      <rPr>
        <sz val="11"/>
        <color theme="0"/>
        <rFont val="Franklin Gothic Book"/>
        <family val="2"/>
      </rPr>
      <t>Has a treatment certificate been provided to TJX USA at customs_compliance@tjx.com?</t>
    </r>
    <r>
      <rPr>
        <b/>
        <sz val="11"/>
        <color theme="0"/>
        <rFont val="Franklin Gothic Book"/>
        <family val="2"/>
      </rPr>
      <t xml:space="preserve">
</t>
    </r>
  </si>
  <si>
    <t>Required prior to export</t>
  </si>
  <si>
    <t>REQUIRED FOR ALL CANDLES MADE IN CHINA</t>
  </si>
  <si>
    <t>Manufacturer Name</t>
  </si>
  <si>
    <t>(Location where wick inserted into wax)</t>
  </si>
  <si>
    <t>(Country where wick inserted into wax)</t>
  </si>
  <si>
    <t>(Example: wick coating, color ingredients, etc.)</t>
  </si>
  <si>
    <t>(provide label describing wax ingredients)</t>
  </si>
  <si>
    <r>
      <t xml:space="preserve">Specify if Paraffin and/or Petroleum wax was used in </t>
    </r>
    <r>
      <rPr>
        <b/>
        <u/>
        <sz val="11"/>
        <color indexed="9"/>
        <rFont val="Franklin Gothic Book"/>
        <family val="2"/>
      </rPr>
      <t>ANY</t>
    </r>
    <r>
      <rPr>
        <b/>
        <sz val="11"/>
        <color indexed="9"/>
        <rFont val="Franklin Gothic Book"/>
        <family val="2"/>
      </rPr>
      <t xml:space="preserve"> production processes</t>
    </r>
  </si>
  <si>
    <t xml:space="preserve">Label Image </t>
  </si>
  <si>
    <t xml:space="preserve">Label Image
</t>
  </si>
  <si>
    <t>(provide label describing for OUTDOOR USE and to REPELL INSECTS)</t>
  </si>
  <si>
    <t xml:space="preserve">Dimensions of each candle
</t>
  </si>
  <si>
    <t>(L x W x H in inches)</t>
  </si>
  <si>
    <t>Added Audio Electronics, expanded Furniture, added Laundry Baskets, Added food safe question, added Tissue Paper section; added some conditional formatting for "other" answers, alphabetized the Product Specific sections, fixed formatting; added Paper Gift Bag tab</t>
  </si>
  <si>
    <r>
      <t xml:space="preserve">Replaced </t>
    </r>
    <r>
      <rPr>
        <b/>
        <sz val="10"/>
        <rFont val="Franklin Gothic Book"/>
        <family val="2"/>
      </rPr>
      <t>or</t>
    </r>
    <r>
      <rPr>
        <sz val="10"/>
        <rFont val="Franklin Gothic Book"/>
        <family val="2"/>
      </rPr>
      <t xml:space="preserve"> with </t>
    </r>
    <r>
      <rPr>
        <b/>
        <sz val="10"/>
        <rFont val="Franklin Gothic Book"/>
        <family val="2"/>
      </rPr>
      <t>and</t>
    </r>
    <r>
      <rPr>
        <sz val="10"/>
        <rFont val="Franklin Gothic Book"/>
        <family val="2"/>
      </rPr>
      <t xml:space="preserve"> in case binding question.
Added column for photo of page with ruler.</t>
    </r>
  </si>
  <si>
    <t>removed dependence on dropdown tab</t>
  </si>
  <si>
    <t>animal products</t>
  </si>
  <si>
    <t>wood products</t>
  </si>
  <si>
    <r>
      <t>Facility Type*</t>
    </r>
    <r>
      <rPr>
        <b/>
        <sz val="10"/>
        <color indexed="9"/>
        <rFont val="Franklin Gothic Book"/>
        <family val="2"/>
      </rPr>
      <t xml:space="preserve">   </t>
    </r>
    <r>
      <rPr>
        <sz val="10"/>
        <color rgb="FFFFFFFF"/>
        <rFont val="Franklin Gothic Book"/>
        <family val="2"/>
      </rPr>
      <t>(select from drop down)</t>
    </r>
  </si>
  <si>
    <r>
      <t xml:space="preserve">DUNS #   </t>
    </r>
    <r>
      <rPr>
        <sz val="10"/>
        <color rgb="FFFFFFFF"/>
        <rFont val="Franklin Gothic Book"/>
        <family val="2"/>
      </rPr>
      <t>(required for products safe for food use)</t>
    </r>
  </si>
  <si>
    <r>
      <t xml:space="preserve">FDA Facility Registration #   </t>
    </r>
    <r>
      <rPr>
        <sz val="10"/>
        <color theme="0"/>
        <rFont val="Franklin Gothic Book"/>
        <family val="2"/>
      </rPr>
      <t>(if applicable)</t>
    </r>
  </si>
  <si>
    <r>
      <t xml:space="preserve">Origin Conferring facility - </t>
    </r>
    <r>
      <rPr>
        <sz val="8"/>
        <color theme="1"/>
        <rFont val="Franklin Gothic Book"/>
        <family val="2"/>
      </rPr>
      <t xml:space="preserve">where manufacturing process is performed                     </t>
    </r>
    <r>
      <rPr>
        <b/>
        <sz val="8"/>
        <color theme="1"/>
        <rFont val="Franklin Gothic Book"/>
        <family val="2"/>
      </rPr>
      <t xml:space="preserve">                                                                                                                                                                                       
Packing Facility - </t>
    </r>
    <r>
      <rPr>
        <sz val="8"/>
        <color theme="1"/>
        <rFont val="Franklin Gothic Book"/>
        <family val="2"/>
      </rPr>
      <t xml:space="preserve">where goods are packed </t>
    </r>
    <r>
      <rPr>
        <b/>
        <sz val="8"/>
        <color theme="1"/>
        <rFont val="Franklin Gothic Book"/>
        <family val="2"/>
      </rPr>
      <t xml:space="preserve">                                                                                                                                                                                                                                                                             
Both Origin Conferring and Packing facility - </t>
    </r>
    <r>
      <rPr>
        <sz val="8"/>
        <color theme="1"/>
        <rFont val="Franklin Gothic Book"/>
        <family val="2"/>
      </rPr>
      <t>goods are produced AND packed at the same facility</t>
    </r>
  </si>
  <si>
    <t>March 2024</t>
  </si>
  <si>
    <t xml:space="preserve">Yellow cells in columns B-E indicate the product has animal or fish material/ingredients and the associated row needs to be completed. </t>
  </si>
  <si>
    <t>Set item #</t>
  </si>
  <si>
    <t>Description, Other (please specify):</t>
  </si>
  <si>
    <t>Source</t>
  </si>
  <si>
    <t>Other (please specify):</t>
  </si>
  <si>
    <r>
      <t xml:space="preserve">Country of Origin 
</t>
    </r>
    <r>
      <rPr>
        <b/>
        <u/>
        <sz val="11"/>
        <color indexed="9"/>
        <rFont val="Franklin Gothic Book"/>
        <family val="2"/>
      </rPr>
      <t>of the animal</t>
    </r>
  </si>
  <si>
    <r>
      <t xml:space="preserve">Quantity of animal materials used in </t>
    </r>
    <r>
      <rPr>
        <b/>
        <u/>
        <sz val="11"/>
        <color indexed="9"/>
        <rFont val="Franklin Gothic Book"/>
        <family val="2"/>
      </rPr>
      <t>each unit/piece</t>
    </r>
    <r>
      <rPr>
        <b/>
        <sz val="11"/>
        <color indexed="9"/>
        <rFont val="Franklin Gothic Book"/>
        <family val="2"/>
      </rPr>
      <t xml:space="preserve"> </t>
    </r>
  </si>
  <si>
    <r>
      <t xml:space="preserve">Quantity 
</t>
    </r>
    <r>
      <rPr>
        <b/>
        <u/>
        <sz val="11"/>
        <color theme="0"/>
        <rFont val="Franklin Gothic Book"/>
        <family val="2"/>
      </rPr>
      <t>U</t>
    </r>
    <r>
      <rPr>
        <b/>
        <u/>
        <sz val="11"/>
        <color indexed="9"/>
        <rFont val="Franklin Gothic Book"/>
        <family val="2"/>
      </rPr>
      <t>nit of Measure</t>
    </r>
  </si>
  <si>
    <r>
      <t xml:space="preserve">Value of animal materials 
used in </t>
    </r>
    <r>
      <rPr>
        <b/>
        <u/>
        <sz val="11"/>
        <color indexed="9"/>
        <rFont val="Franklin Gothic Book"/>
        <family val="2"/>
      </rPr>
      <t>each unit/piece</t>
    </r>
    <r>
      <rPr>
        <sz val="11"/>
        <color indexed="9"/>
        <rFont val="Franklin Gothic Book"/>
        <family val="2"/>
      </rPr>
      <t xml:space="preserve">
</t>
    </r>
  </si>
  <si>
    <t>(this autofills)</t>
  </si>
  <si>
    <t>Please fill in all yellow cells</t>
  </si>
  <si>
    <t>ex: Mother of Pearl</t>
  </si>
  <si>
    <t>ex: Pinctada</t>
  </si>
  <si>
    <t>ex: imbricata</t>
  </si>
  <si>
    <t>ex. # of shells or # of feathers</t>
  </si>
  <si>
    <t>Please select a currency;
currency type must match PO</t>
  </si>
  <si>
    <t>Wood Material Type</t>
  </si>
  <si>
    <t>a. less than 1 cm (.38 inches) in width/diameter</t>
  </si>
  <si>
    <t xml:space="preserve">Yellow cells in columns B-D indicate the product has wood or plant material and the associated row needs to be completed. </t>
  </si>
  <si>
    <t xml:space="preserve">Does the item contain any animal materials? </t>
  </si>
  <si>
    <t xml:space="preserve">Does the product contain wood or plant materials? </t>
  </si>
  <si>
    <t>Y/N</t>
  </si>
  <si>
    <t>If new manufacturer, please fill out Manufacturer Profile tab</t>
  </si>
  <si>
    <t xml:space="preserve">SET ITEM NUMBER </t>
  </si>
  <si>
    <r>
      <rPr>
        <sz val="11"/>
        <color indexed="9"/>
        <rFont val="Franklin Gothic Book"/>
        <family val="2"/>
      </rPr>
      <t xml:space="preserve">Specify
</t>
    </r>
    <r>
      <rPr>
        <b/>
        <sz val="11"/>
        <color indexed="9"/>
        <rFont val="Franklin Gothic Book"/>
        <family val="2"/>
      </rPr>
      <t>Currency</t>
    </r>
  </si>
  <si>
    <t>(eg, 1 of 4)</t>
  </si>
  <si>
    <t>Please select a currency</t>
  </si>
  <si>
    <t xml:space="preserve">Height </t>
  </si>
  <si>
    <t xml:space="preserve">Depth </t>
  </si>
  <si>
    <t xml:space="preserve">Width </t>
  </si>
  <si>
    <t>(top to bottom)</t>
  </si>
  <si>
    <t>(front to back)</t>
  </si>
  <si>
    <t>(left to right)</t>
  </si>
  <si>
    <t xml:space="preserve">Dimensions H x D x W </t>
  </si>
  <si>
    <t xml:space="preserve">Sets Only </t>
  </si>
  <si>
    <t>Length, 
in CENTIMETERS</t>
  </si>
  <si>
    <t>Reflective Surface 
(autocalculates)</t>
  </si>
  <si>
    <t>If other</t>
  </si>
  <si>
    <t xml:space="preserve">Is the dispenser shipped empty or filled? </t>
  </si>
  <si>
    <r>
      <t xml:space="preserve">What is the weight of the dispenser? </t>
    </r>
    <r>
      <rPr>
        <sz val="11"/>
        <color rgb="FFFFFFFF"/>
        <rFont val="Franklin Gothic Book"/>
        <family val="2"/>
      </rPr>
      <t xml:space="preserve">
</t>
    </r>
  </si>
  <si>
    <t>Type of Dispenser</t>
  </si>
  <si>
    <r>
      <t xml:space="preserve">Provide 
</t>
    </r>
    <r>
      <rPr>
        <b/>
        <sz val="11"/>
        <color theme="0"/>
        <rFont val="Franklin Gothic Book"/>
        <family val="2"/>
      </rPr>
      <t xml:space="preserve">Value Breakdown
</t>
    </r>
    <r>
      <rPr>
        <sz val="11"/>
        <color theme="0"/>
        <rFont val="Franklin Gothic Book"/>
        <family val="2"/>
      </rPr>
      <t xml:space="preserve">of each piece / part in the set  </t>
    </r>
  </si>
  <si>
    <r>
      <t xml:space="preserve">Manufacturer Name        </t>
    </r>
    <r>
      <rPr>
        <sz val="11"/>
        <color indexed="9"/>
        <rFont val="Franklin Gothic Book"/>
        <family val="2"/>
      </rPr>
      <t xml:space="preserve">     </t>
    </r>
    <r>
      <rPr>
        <sz val="11"/>
        <color indexed="60"/>
        <rFont val="Franklin Gothic Book"/>
        <family val="2"/>
      </rPr>
      <t xml:space="preserve">                                                                  .                                    </t>
    </r>
    <r>
      <rPr>
        <sz val="11"/>
        <color indexed="9"/>
        <rFont val="Franklin Gothic Book"/>
        <family val="2"/>
      </rPr>
      <t xml:space="preserve">                                                                         </t>
    </r>
    <r>
      <rPr>
        <b/>
        <sz val="11"/>
        <color indexed="9"/>
        <rFont val="Franklin Gothic Book"/>
        <family val="2"/>
      </rPr>
      <t xml:space="preserve">                                         </t>
    </r>
  </si>
  <si>
    <t>removed tissue paper questions to go to own PT, added wood/animal material questions, moved set section to front of PT, added autocalculating to Mirrors section, removed Audio (to Toys PT) and Furniture/Lamps section (to Furniture PT)</t>
  </si>
  <si>
    <t>TSCA</t>
  </si>
  <si>
    <t>cleaned up visual formatting</t>
  </si>
  <si>
    <t xml:space="preserve">Are the mounting brackets included? </t>
  </si>
  <si>
    <t xml:space="preserve">Are finials included? </t>
  </si>
  <si>
    <t xml:space="preserve">Is the curtain rod adjustable length (telescoping) or fixed length? </t>
  </si>
  <si>
    <t>ADDITIONAL MATERIAL COMPOSITION DETAILS</t>
  </si>
  <si>
    <t>Width
in CENTIMETERS</t>
  </si>
  <si>
    <t>added conditional formatting and dropdowns</t>
  </si>
  <si>
    <t>manuf detail</t>
  </si>
  <si>
    <t>deleted tab; Paper Products PT to come</t>
  </si>
  <si>
    <t>Radius
in CENTIMETERS</t>
  </si>
  <si>
    <r>
      <rPr>
        <b/>
        <sz val="11"/>
        <color rgb="FFFFFFFF"/>
        <rFont val="Franklin Gothic Book"/>
        <family val="2"/>
      </rPr>
      <t xml:space="preserve">RECTANGULAR or SQUARE MIRRORS </t>
    </r>
    <r>
      <rPr>
        <sz val="11"/>
        <color indexed="9"/>
        <rFont val="Franklin Gothic Book"/>
        <family val="2"/>
      </rPr>
      <t xml:space="preserve">
Provide the </t>
    </r>
    <r>
      <rPr>
        <b/>
        <sz val="11"/>
        <color indexed="9"/>
        <rFont val="Franklin Gothic Book"/>
        <family val="2"/>
      </rPr>
      <t xml:space="preserve">DIMENSIONS of the </t>
    </r>
    <r>
      <rPr>
        <b/>
        <u/>
        <sz val="11"/>
        <color rgb="FFFFFFFF"/>
        <rFont val="Franklin Gothic Book"/>
        <family val="2"/>
      </rPr>
      <t>reflective surface</t>
    </r>
    <r>
      <rPr>
        <sz val="11"/>
        <color indexed="9"/>
        <rFont val="Franklin Gothic Book"/>
        <family val="2"/>
      </rPr>
      <t xml:space="preserve"> in centimeters </t>
    </r>
  </si>
  <si>
    <r>
      <t xml:space="preserve">CIRCULAR MIRRORS
</t>
    </r>
    <r>
      <rPr>
        <sz val="11"/>
        <color rgb="FFFFFFFF"/>
        <rFont val="Franklin Gothic Book"/>
        <family val="2"/>
      </rPr>
      <t>Provide the</t>
    </r>
    <r>
      <rPr>
        <b/>
        <sz val="11"/>
        <color indexed="9"/>
        <rFont val="Franklin Gothic Book"/>
        <family val="2"/>
      </rPr>
      <t xml:space="preserve"> RADIUS </t>
    </r>
    <r>
      <rPr>
        <sz val="11"/>
        <color rgb="FFFFFFFF"/>
        <rFont val="Franklin Gothic Book"/>
        <family val="2"/>
      </rPr>
      <t xml:space="preserve">(half of the diameter) of the </t>
    </r>
    <r>
      <rPr>
        <b/>
        <u/>
        <sz val="11"/>
        <color rgb="FFFFFFFF"/>
        <rFont val="Franklin Gothic Book"/>
        <family val="2"/>
      </rPr>
      <t>reflective surface</t>
    </r>
    <r>
      <rPr>
        <sz val="11"/>
        <color rgb="FFFFFFFF"/>
        <rFont val="Franklin Gothic Book"/>
        <family val="2"/>
      </rPr>
      <t xml:space="preserve">: </t>
    </r>
  </si>
  <si>
    <t>Currency:</t>
  </si>
  <si>
    <t xml:space="preserve">All of the tabs contain conditional formatting that is dependent on answers to questions within the tab. </t>
  </si>
  <si>
    <t xml:space="preserve">Set components should be listed on individual lines where possible. </t>
  </si>
  <si>
    <r>
      <t xml:space="preserve">Yellow cells are </t>
    </r>
    <r>
      <rPr>
        <sz val="10"/>
        <color rgb="FFC00000"/>
        <rFont val="Franklin Gothic Book"/>
        <family val="2"/>
      </rPr>
      <t>REQUIRED</t>
    </r>
    <r>
      <rPr>
        <sz val="11"/>
        <color theme="1"/>
        <rFont val="Calibri"/>
        <family val="2"/>
        <scheme val="minor"/>
      </rPr>
      <t xml:space="preserve"> information. </t>
    </r>
  </si>
  <si>
    <t>Grey cells do not need to be filled out.</t>
  </si>
  <si>
    <r>
      <t xml:space="preserve">Wherever possible, instructions have been given underneath the column headers to help the user know whether the cell is free text or a dropdown, indicated by such flags as "Y/N," "Please select an answer," and "Please enter an answer." </t>
    </r>
    <r>
      <rPr>
        <sz val="10"/>
        <color rgb="FFA50021"/>
        <rFont val="Franklin Gothic Book"/>
        <family val="2"/>
      </rPr>
      <t xml:space="preserve">Please use drop down selections when provided; do not overwrite the dropdown. </t>
    </r>
    <r>
      <rPr>
        <sz val="10"/>
        <rFont val="Franklin Gothic Book"/>
        <family val="2"/>
      </rPr>
      <t>Whenever possible, a choice of "other" has been given, with separate space to free-text anything not listed in an associated dropdown.</t>
    </r>
  </si>
  <si>
    <t>Measurement definitions:</t>
  </si>
  <si>
    <r>
      <rPr>
        <b/>
        <sz val="10"/>
        <color theme="1"/>
        <rFont val="Franklin Gothic Book"/>
        <family val="2"/>
      </rPr>
      <t>Length/Height:</t>
    </r>
    <r>
      <rPr>
        <sz val="11"/>
        <color theme="1"/>
        <rFont val="Calibri"/>
        <family val="2"/>
        <scheme val="minor"/>
      </rPr>
      <t xml:space="preserve"> measurement from top to bottom. </t>
    </r>
  </si>
  <si>
    <r>
      <rPr>
        <b/>
        <sz val="10"/>
        <color theme="1"/>
        <rFont val="Franklin Gothic Book"/>
        <family val="2"/>
      </rPr>
      <t xml:space="preserve">Width: </t>
    </r>
    <r>
      <rPr>
        <sz val="11"/>
        <color theme="1"/>
        <rFont val="Calibri"/>
        <family val="2"/>
        <scheme val="minor"/>
      </rPr>
      <t>measurement from left to right</t>
    </r>
  </si>
  <si>
    <r>
      <rPr>
        <b/>
        <sz val="10"/>
        <color theme="1"/>
        <rFont val="Franklin Gothic Book"/>
        <family val="2"/>
      </rPr>
      <t>Depth:</t>
    </r>
    <r>
      <rPr>
        <sz val="11"/>
        <color theme="1"/>
        <rFont val="Calibri"/>
        <family val="2"/>
        <scheme val="minor"/>
      </rPr>
      <t xml:space="preserve"> measurement from front to back</t>
    </r>
  </si>
  <si>
    <t xml:space="preserve"> </t>
  </si>
  <si>
    <t>Specify the number of items in the set. Must provide product details and value (in $USD) for each item. Set components should be listed on separate lines.</t>
  </si>
  <si>
    <r>
      <t xml:space="preserve">Wood or Plant Materials 
</t>
    </r>
    <r>
      <rPr>
        <b/>
        <sz val="9"/>
        <color theme="1"/>
        <rFont val="Franklin Gothic Book"/>
        <family val="2"/>
      </rPr>
      <t>(US Dept. of Agriculture/USDA)</t>
    </r>
  </si>
  <si>
    <r>
      <t xml:space="preserve">Animal Material or Ingredients
</t>
    </r>
    <r>
      <rPr>
        <b/>
        <sz val="9"/>
        <rFont val="Franklin Gothic Book"/>
        <family val="2"/>
      </rPr>
      <t>(Fish &amp; Wildlife/FWS)</t>
    </r>
  </si>
  <si>
    <t xml:space="preserve">Complete this tab for any styles containing animal materials (eg. feathers, shells, etc) or ingredients, excluding food. </t>
  </si>
  <si>
    <r>
      <t xml:space="preserve">Complete the </t>
    </r>
    <r>
      <rPr>
        <b/>
        <sz val="10"/>
        <color theme="1"/>
        <rFont val="Franklin Gothic Book"/>
        <family val="2"/>
      </rPr>
      <t>Décor &amp; Misc</t>
    </r>
    <r>
      <rPr>
        <sz val="11"/>
        <color theme="1"/>
        <rFont val="Calibri"/>
        <family val="2"/>
        <scheme val="minor"/>
      </rPr>
      <t xml:space="preserve"> or </t>
    </r>
    <r>
      <rPr>
        <b/>
        <sz val="10"/>
        <color theme="1"/>
        <rFont val="Franklin Gothic Book"/>
        <family val="2"/>
      </rPr>
      <t>Glassware</t>
    </r>
    <r>
      <rPr>
        <sz val="11"/>
        <color theme="1"/>
        <rFont val="Calibri"/>
        <family val="2"/>
        <scheme val="minor"/>
      </rPr>
      <t xml:space="preserve"> Product Template. If made in China, complete the Candles (CN) tab.</t>
    </r>
  </si>
  <si>
    <r>
      <t xml:space="preserve">Complete the </t>
    </r>
    <r>
      <rPr>
        <b/>
        <sz val="10"/>
        <color theme="1"/>
        <rFont val="Franklin Gothic Book"/>
        <family val="2"/>
      </rPr>
      <t>Desk, Office, and Stationery Supplies</t>
    </r>
    <r>
      <rPr>
        <sz val="11"/>
        <color theme="1"/>
        <rFont val="Calibri"/>
        <family val="2"/>
        <scheme val="minor"/>
      </rPr>
      <t xml:space="preserve"> Product Template. If made in China or India, complete the Journals, Notebooks (CN &amp; IN) tab.</t>
    </r>
  </si>
  <si>
    <t>Gift / Paper Bags or Tissue Paper</t>
  </si>
  <si>
    <r>
      <t xml:space="preserve">Complete the </t>
    </r>
    <r>
      <rPr>
        <b/>
        <sz val="10"/>
        <color theme="1"/>
        <rFont val="Franklin Gothic Book"/>
        <family val="2"/>
      </rPr>
      <t>Gift Wrap, Gift Bags, Tissue Paper, &amp; Party Supplies</t>
    </r>
    <r>
      <rPr>
        <sz val="11"/>
        <color theme="1"/>
        <rFont val="Calibri"/>
        <family val="2"/>
        <scheme val="minor"/>
      </rPr>
      <t xml:space="preserve"> Product Template. </t>
    </r>
  </si>
  <si>
    <r>
      <t xml:space="preserve">Complete the </t>
    </r>
    <r>
      <rPr>
        <b/>
        <sz val="10"/>
        <color theme="1"/>
        <rFont val="Franklin Gothic Book"/>
        <family val="2"/>
      </rPr>
      <t>Desk, Office, and Stationery Supplies</t>
    </r>
    <r>
      <rPr>
        <sz val="11"/>
        <color theme="1"/>
        <rFont val="Calibri"/>
        <family val="2"/>
        <scheme val="minor"/>
      </rPr>
      <t xml:space="preserve"> Product Template. If made in China, complete the Pencils (CN) tab.</t>
    </r>
  </si>
  <si>
    <r>
      <t xml:space="preserve">Complete the </t>
    </r>
    <r>
      <rPr>
        <b/>
        <sz val="10"/>
        <color theme="1"/>
        <rFont val="Franklin Gothic Book"/>
        <family val="2"/>
      </rPr>
      <t>Arts &amp; Crafts</t>
    </r>
    <r>
      <rPr>
        <sz val="11"/>
        <color theme="1"/>
        <rFont val="Calibri"/>
        <family val="2"/>
        <scheme val="minor"/>
      </rPr>
      <t xml:space="preserve"> Product Template. </t>
    </r>
    <r>
      <rPr>
        <sz val="10"/>
        <color rgb="FFFF0000"/>
        <rFont val="Franklin Gothic Book"/>
        <family val="2"/>
      </rPr>
      <t>Also complete the TSCA tab.</t>
    </r>
  </si>
  <si>
    <r>
      <t xml:space="preserve">Complete the </t>
    </r>
    <r>
      <rPr>
        <b/>
        <sz val="10"/>
        <color theme="1"/>
        <rFont val="Franklin Gothic Book"/>
        <family val="2"/>
      </rPr>
      <t>Décor &amp; Misc</t>
    </r>
    <r>
      <rPr>
        <sz val="11"/>
        <color theme="1"/>
        <rFont val="Calibri"/>
        <family val="2"/>
        <scheme val="minor"/>
      </rPr>
      <t xml:space="preserve"> Product Template.</t>
    </r>
    <r>
      <rPr>
        <sz val="10"/>
        <color rgb="FFFF0000"/>
        <rFont val="Franklin Gothic Book"/>
        <family val="2"/>
      </rPr>
      <t xml:space="preserve"> Also complete the TSCA tab.</t>
    </r>
  </si>
  <si>
    <t>Sunglasses</t>
  </si>
  <si>
    <r>
      <t xml:space="preserve">Complete the Sunglasses tab in the </t>
    </r>
    <r>
      <rPr>
        <b/>
        <sz val="10"/>
        <color theme="1"/>
        <rFont val="Franklin Gothic Book"/>
        <family val="2"/>
      </rPr>
      <t>Accessories</t>
    </r>
    <r>
      <rPr>
        <sz val="11"/>
        <color theme="1"/>
        <rFont val="Calibri"/>
        <family val="2"/>
        <scheme val="minor"/>
      </rPr>
      <t xml:space="preserve"> Product Template.</t>
    </r>
  </si>
  <si>
    <t>The TSCA tab must be completed for Household Cleaners</t>
  </si>
  <si>
    <t>Paste photos / images of the products in this area. Images must remain readable when enlarged.</t>
  </si>
  <si>
    <t>Separate multiple POs with commas</t>
  </si>
  <si>
    <r>
      <t xml:space="preserve">REQUIRED FOR </t>
    </r>
    <r>
      <rPr>
        <b/>
        <u/>
        <sz val="11"/>
        <color rgb="FFA50021"/>
        <rFont val="Franklin Gothic Book"/>
        <family val="2"/>
      </rPr>
      <t>ALL</t>
    </r>
    <r>
      <rPr>
        <b/>
        <sz val="11"/>
        <color rgb="FFA50021"/>
        <rFont val="Franklin Gothic Book"/>
        <family val="2"/>
      </rPr>
      <t xml:space="preserve"> STYLES
</t>
    </r>
    <r>
      <rPr>
        <sz val="11"/>
        <color rgb="FFA50021"/>
        <rFont val="Franklin Gothic Book"/>
        <family val="2"/>
      </rPr>
      <t xml:space="preserve">This information populates on other tabs. </t>
    </r>
    <r>
      <rPr>
        <b/>
        <u/>
        <sz val="11"/>
        <color rgb="FFA50021"/>
        <rFont val="Franklin Gothic Book"/>
        <family val="2"/>
      </rPr>
      <t>It is required for all styles</t>
    </r>
    <r>
      <rPr>
        <b/>
        <sz val="11"/>
        <color rgb="FFA50021"/>
        <rFont val="Franklin Gothic Book"/>
        <family val="2"/>
      </rPr>
      <t>.</t>
    </r>
    <r>
      <rPr>
        <sz val="11"/>
        <color rgb="FFA50021"/>
        <rFont val="Franklin Gothic Book"/>
        <family val="2"/>
      </rPr>
      <t xml:space="preserve"> If the style is a set, each set component must be listed on separate lines. </t>
    </r>
  </si>
  <si>
    <t xml:space="preserve">Is the item meant to be disposable? </t>
  </si>
  <si>
    <t xml:space="preserve">Is the aluminum flat-rolled? </t>
  </si>
  <si>
    <t xml:space="preserve">If disposable, does the item come with a disposable lid? </t>
  </si>
  <si>
    <t>ALUMINUM</t>
  </si>
  <si>
    <t>Added Aluminum Disposable Container ADD questions to aluminum section</t>
  </si>
  <si>
    <t>September 2025</t>
  </si>
  <si>
    <t>Does the style contain any of the following metals, including packaging and accessories?</t>
  </si>
  <si>
    <t>Please specify which metals:</t>
  </si>
  <si>
    <t>Include all wood/plant materials and %s</t>
  </si>
  <si>
    <t>if applicable</t>
  </si>
  <si>
    <t xml:space="preserve">If the email fails due to size, please split into multiple product templates and emails as needed. </t>
  </si>
  <si>
    <t>inch</t>
  </si>
  <si>
    <t>INDIA</t>
  </si>
  <si>
    <t>USD</t>
  </si>
  <si>
    <t>SHIVA EXPORTS</t>
  </si>
  <si>
    <t>BUILDING NO.2 , MANJU NAGAR, NEAR PRABHAT MARKET</t>
  </si>
  <si>
    <t>NEAR RAMPUR ROAD</t>
  </si>
  <si>
    <t>MORADABAD</t>
  </si>
  <si>
    <t>UTTAR PRADESH</t>
  </si>
  <si>
    <t>VISHAL MITTAL</t>
  </si>
  <si>
    <t>shivaexp@gmail.com / info@shivaexport.co.in</t>
  </si>
  <si>
    <t>Both Origin Conferring and Packing</t>
  </si>
  <si>
    <t>14 25X4X10 75 GLD BIRDS ON A TWIG</t>
  </si>
  <si>
    <t>14,25</t>
  </si>
  <si>
    <t>$5.95</t>
  </si>
  <si>
    <t xml:space="preserve">100% CASTaluminium </t>
  </si>
  <si>
    <t>None of the above</t>
  </si>
  <si>
    <t>No - designed for long-term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</si>
</sst>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x14ac:knownFonts="1">
    <font>
      <sz val="11"/>
      <color theme="1"/>
      <name val="Calibri"/>
      <family val="2"/>
      <scheme val="minor"/>
    </font>
    <font>
      <sz val="10"/>
      <color theme="1"/>
      <name val="Franklin Gothic Book"/>
      <family val="2"/>
    </font>
    <font>
      <sz val="10"/>
      <color theme="1"/>
      <name val="Franklin Gothic Book"/>
      <family val="2"/>
    </font>
    <font>
      <sz val="10"/>
      <color theme="1"/>
      <name val="Franklin Gothic Book"/>
      <family val="2"/>
    </font>
    <font>
      <sz val="10"/>
      <color theme="1"/>
      <name val="Franklin Gothic Book"/>
      <family val="2"/>
    </font>
    <font>
      <sz val="10"/>
      <color theme="1"/>
      <name val="Franklin Gothic Book"/>
      <family val="2"/>
    </font>
    <font>
      <sz val="10"/>
      <color theme="1"/>
      <name val="Franklin Gothic Book"/>
      <family val="2"/>
    </font>
    <font>
      <u/>
      <sz val="11"/>
      <color theme="10"/>
      <name val="Calibri"/>
      <family val="2"/>
    </font>
    <font>
      <b/>
      <sz val="11"/>
      <color theme="1"/>
      <name val="Calibri"/>
      <family val="2"/>
      <scheme val="minor"/>
    </font>
    <font>
      <sz val="11"/>
      <color theme="1"/>
      <name val="Calibri"/>
      <family val="2"/>
      <scheme val="minor"/>
    </font>
    <font>
      <sz val="10"/>
      <color theme="1"/>
      <name val="Segoe UI"/>
      <family val="2"/>
    </font>
    <font>
      <sz val="12"/>
      <color theme="1"/>
      <name val="Calibri"/>
      <family val="2"/>
      <scheme val="minor"/>
    </font>
    <font>
      <sz val="22"/>
      <color theme="1"/>
      <name val="Calibri"/>
      <family val="2"/>
      <scheme val="minor"/>
    </font>
    <font>
      <sz val="8"/>
      <color indexed="8"/>
      <name val="Calibri"/>
      <family val="2"/>
    </font>
    <font>
      <i/>
      <sz val="12"/>
      <name val="Calibri"/>
      <family val="2"/>
      <scheme val="minor"/>
    </font>
    <font>
      <sz val="10"/>
      <color indexed="8"/>
      <name val="Calibri"/>
      <family val="2"/>
    </font>
    <font>
      <sz val="8"/>
      <color theme="1"/>
      <name val="Calibri"/>
      <family val="2"/>
      <scheme val="minor"/>
    </font>
    <font>
      <i/>
      <sz val="12"/>
      <name val="Calibri"/>
      <family val="2"/>
    </font>
    <font>
      <b/>
      <sz val="10"/>
      <color theme="0"/>
      <name val="Franklin Gothic Book"/>
      <family val="2"/>
    </font>
    <font>
      <sz val="10"/>
      <color theme="0"/>
      <name val="Franklin Gothic Book"/>
      <family val="2"/>
    </font>
    <font>
      <b/>
      <sz val="11"/>
      <color rgb="FFC00000"/>
      <name val="Franklin Gothic Book"/>
      <family val="2"/>
    </font>
    <font>
      <sz val="11"/>
      <color theme="1"/>
      <name val="Franklin Gothic Book"/>
      <family val="2"/>
    </font>
    <font>
      <sz val="9"/>
      <color rgb="FFC00000"/>
      <name val="Franklin Gothic Book"/>
      <family val="2"/>
    </font>
    <font>
      <b/>
      <sz val="11"/>
      <name val="Franklin Gothic Book"/>
      <family val="2"/>
    </font>
    <font>
      <b/>
      <sz val="14"/>
      <color rgb="FFFF0000"/>
      <name val="Franklin Gothic Book"/>
      <family val="2"/>
    </font>
    <font>
      <b/>
      <sz val="11"/>
      <color theme="0"/>
      <name val="Franklin Gothic Book"/>
      <family val="2"/>
    </font>
    <font>
      <sz val="11"/>
      <color indexed="9"/>
      <name val="Franklin Gothic Book"/>
      <family val="2"/>
    </font>
    <font>
      <b/>
      <sz val="11"/>
      <color indexed="9"/>
      <name val="Franklin Gothic Book"/>
      <family val="2"/>
    </font>
    <font>
      <sz val="11"/>
      <name val="Franklin Gothic Book"/>
      <family val="2"/>
    </font>
    <font>
      <sz val="11"/>
      <color theme="0"/>
      <name val="Franklin Gothic Book"/>
      <family val="2"/>
    </font>
    <font>
      <sz val="11"/>
      <color rgb="FFFFFFFF"/>
      <name val="Franklin Gothic Book"/>
      <family val="2"/>
    </font>
    <font>
      <b/>
      <sz val="14"/>
      <color rgb="FFC00000"/>
      <name val="Franklin Gothic Book"/>
      <family val="2"/>
    </font>
    <font>
      <b/>
      <sz val="11"/>
      <color rgb="FFFFFFFF"/>
      <name val="Franklin Gothic Book"/>
      <family val="2"/>
    </font>
    <font>
      <sz val="26"/>
      <color theme="1"/>
      <name val="Franklin Gothic Book"/>
      <family val="2"/>
    </font>
    <font>
      <b/>
      <sz val="13"/>
      <color rgb="FFFF0000"/>
      <name val="Franklin Gothic Book"/>
      <family val="2"/>
    </font>
    <font>
      <sz val="13"/>
      <color theme="1"/>
      <name val="Franklin Gothic Book"/>
      <family val="2"/>
    </font>
    <font>
      <b/>
      <u/>
      <sz val="11"/>
      <color indexed="9"/>
      <name val="Franklin Gothic Book"/>
      <family val="2"/>
    </font>
    <font>
      <b/>
      <u/>
      <sz val="11"/>
      <color theme="0"/>
      <name val="Franklin Gothic Book"/>
      <family val="2"/>
    </font>
    <font>
      <i/>
      <sz val="11"/>
      <color theme="0"/>
      <name val="Franklin Gothic Book"/>
      <family val="2"/>
    </font>
    <font>
      <sz val="10"/>
      <color rgb="FFFFFFFF"/>
      <name val="Franklin Gothic Book"/>
      <family val="2"/>
    </font>
    <font>
      <sz val="11"/>
      <color rgb="FFFF0000"/>
      <name val="Franklin Gothic Book"/>
      <family val="2"/>
    </font>
    <font>
      <b/>
      <sz val="11"/>
      <color theme="1"/>
      <name val="Franklin Gothic Book"/>
      <family val="2"/>
    </font>
    <font>
      <sz val="10"/>
      <name val="Franklin Gothic Book"/>
      <family val="2"/>
    </font>
    <font>
      <b/>
      <sz val="10"/>
      <name val="Franklin Gothic Book"/>
      <family val="2"/>
    </font>
    <font>
      <b/>
      <sz val="12"/>
      <color rgb="FFC00000"/>
      <name val="Franklin Gothic Book"/>
      <family val="2"/>
    </font>
    <font>
      <b/>
      <sz val="10"/>
      <color indexed="9"/>
      <name val="Franklin Gothic Book"/>
      <family val="2"/>
    </font>
    <font>
      <b/>
      <sz val="8"/>
      <color theme="1"/>
      <name val="Franklin Gothic Book"/>
      <family val="2"/>
    </font>
    <font>
      <sz val="8"/>
      <color theme="1"/>
      <name val="Franklin Gothic Book"/>
      <family val="2"/>
    </font>
    <font>
      <sz val="11"/>
      <color rgb="FFC00000"/>
      <name val="Franklin Gothic Book"/>
      <family val="2"/>
    </font>
    <font>
      <b/>
      <u/>
      <sz val="11"/>
      <color rgb="FFFFFFFF"/>
      <name val="Franklin Gothic Book"/>
      <family val="2"/>
    </font>
    <font>
      <b/>
      <sz val="11"/>
      <color rgb="FFFF0000"/>
      <name val="Franklin Gothic Book"/>
      <family val="2"/>
    </font>
    <font>
      <sz val="11"/>
      <color indexed="60"/>
      <name val="Franklin Gothic Book"/>
      <family val="2"/>
    </font>
    <font>
      <sz val="10"/>
      <color rgb="FFFF0000"/>
      <name val="Franklin Gothic Book"/>
      <family val="2"/>
    </font>
    <font>
      <b/>
      <sz val="10"/>
      <color theme="1"/>
      <name val="Franklin Gothic Book"/>
      <family val="2"/>
    </font>
    <font>
      <sz val="16"/>
      <color theme="1"/>
      <name val="Franklin Gothic Book"/>
      <family val="2"/>
    </font>
    <font>
      <sz val="10"/>
      <color rgb="FFC00000"/>
      <name val="Franklin Gothic Book"/>
      <family val="2"/>
    </font>
    <font>
      <sz val="10"/>
      <color rgb="FFA50021"/>
      <name val="Franklin Gothic Book"/>
      <family val="2"/>
    </font>
    <font>
      <b/>
      <sz val="14"/>
      <color theme="1"/>
      <name val="Franklin Gothic Book"/>
      <family val="2"/>
    </font>
    <font>
      <sz val="12"/>
      <color theme="1"/>
      <name val="Franklin Gothic Book"/>
      <family val="2"/>
    </font>
    <font>
      <b/>
      <sz val="12"/>
      <color theme="1"/>
      <name val="Franklin Gothic Book"/>
      <family val="2"/>
    </font>
    <font>
      <b/>
      <sz val="9"/>
      <color theme="1"/>
      <name val="Franklin Gothic Book"/>
      <family val="2"/>
    </font>
    <font>
      <b/>
      <sz val="9"/>
      <name val="Franklin Gothic Book"/>
      <family val="2"/>
    </font>
    <font>
      <sz val="11"/>
      <color theme="0" tint="-0.249977111117893"/>
      <name val="Franklin Gothic Book"/>
      <family val="2"/>
    </font>
    <font>
      <b/>
      <sz val="10"/>
      <color rgb="FFA50021"/>
      <name val="Franklin Gothic Book"/>
      <family val="2"/>
    </font>
    <font>
      <b/>
      <sz val="11"/>
      <color rgb="FFA50021"/>
      <name val="Franklin Gothic Book"/>
      <family val="2"/>
    </font>
    <font>
      <b/>
      <u/>
      <sz val="11"/>
      <color rgb="FFA50021"/>
      <name val="Franklin Gothic Book"/>
      <family val="2"/>
    </font>
    <font>
      <sz val="11"/>
      <color rgb="FFA50021"/>
      <name val="Franklin Gothic Book"/>
      <family val="2"/>
    </font>
    <font>
      <sz val="10"/>
      <color indexed="9"/>
      <name val="Franklin Gothic Book"/>
      <family val="2"/>
    </font>
  </fonts>
  <fills count="17">
    <fill>
      <patternFill patternType="none"/>
    </fill>
    <fill>
      <patternFill patternType="gray125"/>
    </fill>
    <fill>
      <patternFill patternType="solid">
        <fgColor theme="0" tint="-0.249977111117893"/>
        <bgColor indexed="64"/>
      </patternFill>
    </fill>
    <fill>
      <patternFill patternType="solid">
        <fgColor rgb="FFA50021"/>
        <bgColor indexed="64"/>
      </patternFill>
    </fill>
    <fill>
      <patternFill patternType="solid">
        <fgColor rgb="FF92D050"/>
        <bgColor indexed="64"/>
      </patternFill>
    </fill>
    <fill>
      <patternFill patternType="solid">
        <fgColor rgb="FF990000"/>
        <bgColor indexed="64"/>
      </patternFill>
    </fill>
    <fill>
      <patternFill patternType="solid">
        <fgColor theme="0" tint="-0.499984740745262"/>
        <bgColor indexed="64"/>
      </patternFill>
    </fill>
    <fill>
      <patternFill patternType="solid">
        <fgColor rgb="FFC00000"/>
        <bgColor indexed="64"/>
      </patternFill>
    </fill>
    <fill>
      <patternFill patternType="solid">
        <fgColor rgb="FFFFC000"/>
        <bgColor indexed="64"/>
      </patternFill>
    </fill>
    <fill>
      <patternFill patternType="solid">
        <fgColor theme="0"/>
        <bgColor indexed="64"/>
      </patternFill>
    </fill>
    <fill>
      <patternFill patternType="solid">
        <fgColor rgb="FF8E0000"/>
        <bgColor indexed="64"/>
      </patternFill>
    </fill>
    <fill>
      <patternFill patternType="solid">
        <fgColor theme="0" tint="-0.14999847407452621"/>
        <bgColor indexed="64"/>
      </patternFill>
    </fill>
    <fill>
      <patternFill patternType="solid">
        <fgColor theme="3" tint="-0.249977111117893"/>
        <bgColor indexed="64"/>
      </patternFill>
    </fill>
    <fill>
      <patternFill patternType="solid">
        <fgColor rgb="FFFFEFEF"/>
        <bgColor indexed="64"/>
      </patternFill>
    </fill>
    <fill>
      <patternFill patternType="solid">
        <fgColor theme="9" tint="-0.499984740745262"/>
        <bgColor indexed="64"/>
      </patternFill>
    </fill>
    <fill>
      <patternFill patternType="solid">
        <fgColor theme="9" tint="0.79998168889431442"/>
        <bgColor indexed="64"/>
      </patternFill>
    </fill>
    <fill>
      <patternFill patternType="solid">
        <fgColor rgb="FFFFFF00"/>
        <bgColor indexed="64"/>
      </patternFill>
    </fill>
  </fills>
  <borders count="9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right style="medium">
        <color indexed="64"/>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ck">
        <color indexed="64"/>
      </left>
      <right/>
      <top/>
      <bottom style="thin">
        <color indexed="64"/>
      </bottom>
      <diagonal/>
    </border>
    <border>
      <left style="thick">
        <color indexed="64"/>
      </left>
      <right/>
      <top style="thin">
        <color indexed="64"/>
      </top>
      <bottom style="thin">
        <color indexed="64"/>
      </bottom>
      <diagonal/>
    </border>
    <border>
      <left style="thin">
        <color indexed="64"/>
      </left>
      <right/>
      <top/>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indexed="64"/>
      </left>
      <right/>
      <top style="thin">
        <color rgb="FFFF0000"/>
      </top>
      <bottom style="thin">
        <color indexed="64"/>
      </bottom>
      <diagonal/>
    </border>
    <border>
      <left/>
      <right/>
      <top style="thin">
        <color rgb="FFFF0000"/>
      </top>
      <bottom style="thin">
        <color indexed="64"/>
      </bottom>
      <diagonal/>
    </border>
    <border>
      <left/>
      <right style="thin">
        <color indexed="64"/>
      </right>
      <top style="thin">
        <color rgb="FFFF0000"/>
      </top>
      <bottom style="thin">
        <color indexed="64"/>
      </bottom>
      <diagonal/>
    </border>
    <border>
      <left style="thick">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style="thick">
        <color indexed="64"/>
      </right>
      <top style="medium">
        <color indexed="64"/>
      </top>
      <bottom style="thin">
        <color indexed="64"/>
      </bottom>
      <diagonal/>
    </border>
    <border>
      <left/>
      <right style="thick">
        <color indexed="64"/>
      </right>
      <top style="thin">
        <color indexed="64"/>
      </top>
      <bottom style="thin">
        <color indexed="64"/>
      </bottom>
      <diagonal/>
    </border>
    <border>
      <left/>
      <right style="thick">
        <color indexed="64"/>
      </right>
      <top/>
      <bottom style="thin">
        <color indexed="64"/>
      </bottom>
      <diagonal/>
    </border>
    <border>
      <left/>
      <right style="thick">
        <color indexed="64"/>
      </right>
      <top style="thin">
        <color indexed="64"/>
      </top>
      <bottom style="medium">
        <color indexed="64"/>
      </bottom>
      <diagonal/>
    </border>
  </borders>
  <cellStyleXfs count="11">
    <xf numFmtId="0" fontId="0" fillId="0" borderId="0"/>
    <xf numFmtId="0" fontId="7" fillId="0" borderId="0" applyNumberFormat="0" applyFill="0" applyBorder="0" applyAlignment="0" applyProtection="0">
      <alignment vertical="top"/>
      <protection locked="0"/>
    </xf>
    <xf numFmtId="0" fontId="10" fillId="0" borderId="0"/>
    <xf numFmtId="0" fontId="6" fillId="0" borderId="0"/>
    <xf numFmtId="0" fontId="9" fillId="0" borderId="0"/>
    <xf numFmtId="0" fontId="5" fillId="0" borderId="0"/>
    <xf numFmtId="0" fontId="9" fillId="0" borderId="0"/>
    <xf numFmtId="0" fontId="4" fillId="0" borderId="0"/>
    <xf numFmtId="0" fontId="4" fillId="0" borderId="0"/>
    <xf numFmtId="0" fontId="10" fillId="0" borderId="0"/>
    <xf numFmtId="0" fontId="2" fillId="0" borderId="0"/>
  </cellStyleXfs>
  <cellXfs count="572">
    <xf numFmtId="0" fontId="0" fillId="0" borderId="0" xfId="0"/>
    <xf numFmtId="0" fontId="8" fillId="2" borderId="1" xfId="0" applyFont="1" applyFill="1" applyBorder="1"/>
    <xf numFmtId="0" fontId="0" fillId="2" borderId="1" xfId="0" applyFill="1" applyBorder="1"/>
    <xf numFmtId="0" fontId="0" fillId="0" borderId="1" xfId="0" applyBorder="1"/>
    <xf numFmtId="0" fontId="21" fillId="0" borderId="0" xfId="0" applyFont="1"/>
    <xf numFmtId="0" fontId="28" fillId="0" borderId="3" xfId="0" applyFont="1" applyBorder="1" applyAlignment="1" applyProtection="1">
      <alignment horizontal="center" vertical="center" wrapText="1"/>
      <protection locked="0"/>
    </xf>
    <xf numFmtId="0" fontId="28" fillId="0" borderId="1" xfId="0" applyFont="1" applyBorder="1" applyAlignment="1" applyProtection="1">
      <alignment horizontal="center" vertical="center" wrapText="1"/>
      <protection locked="0"/>
    </xf>
    <xf numFmtId="9" fontId="28" fillId="0" borderId="2" xfId="0" applyNumberFormat="1" applyFont="1" applyBorder="1" applyAlignment="1" applyProtection="1">
      <alignment horizontal="center" vertical="center" wrapText="1"/>
      <protection locked="0"/>
    </xf>
    <xf numFmtId="0" fontId="28" fillId="0" borderId="2" xfId="0" applyFont="1" applyBorder="1" applyAlignment="1" applyProtection="1">
      <alignment horizontal="center" vertical="center" wrapText="1"/>
      <protection locked="0"/>
    </xf>
    <xf numFmtId="0" fontId="28" fillId="0" borderId="9" xfId="0" applyFont="1" applyBorder="1" applyAlignment="1" applyProtection="1">
      <alignment horizontal="center" vertical="center" wrapText="1"/>
      <protection locked="0"/>
    </xf>
    <xf numFmtId="0" fontId="28" fillId="0" borderId="18" xfId="0" applyFont="1" applyBorder="1" applyAlignment="1" applyProtection="1">
      <alignment horizontal="center" vertical="center" wrapText="1"/>
      <protection locked="0"/>
    </xf>
    <xf numFmtId="0" fontId="28" fillId="0" borderId="7" xfId="0" applyFont="1" applyBorder="1" applyAlignment="1" applyProtection="1">
      <alignment horizontal="center" vertical="center" wrapText="1"/>
      <protection locked="0"/>
    </xf>
    <xf numFmtId="0" fontId="28" fillId="0" borderId="6" xfId="0" applyFont="1" applyBorder="1" applyAlignment="1" applyProtection="1">
      <alignment horizontal="center" vertical="center" wrapText="1"/>
      <protection locked="0"/>
    </xf>
    <xf numFmtId="9" fontId="28" fillId="0" borderId="8" xfId="0" applyNumberFormat="1" applyFont="1" applyBorder="1" applyAlignment="1" applyProtection="1">
      <alignment horizontal="center" vertical="center" wrapText="1"/>
      <protection locked="0"/>
    </xf>
    <xf numFmtId="0" fontId="28" fillId="0" borderId="8" xfId="0" applyFont="1" applyBorder="1" applyAlignment="1" applyProtection="1">
      <alignment horizontal="center" vertical="center" wrapText="1"/>
      <protection locked="0"/>
    </xf>
    <xf numFmtId="0" fontId="28" fillId="0" borderId="34" xfId="0" applyFont="1" applyBorder="1" applyAlignment="1" applyProtection="1">
      <alignment horizontal="center" vertical="center" wrapText="1"/>
      <protection locked="0"/>
    </xf>
    <xf numFmtId="0" fontId="28" fillId="0" borderId="17" xfId="0" applyFont="1" applyBorder="1" applyAlignment="1" applyProtection="1">
      <alignment horizontal="center" vertical="center" wrapText="1"/>
      <protection locked="0"/>
    </xf>
    <xf numFmtId="0" fontId="27" fillId="3" borderId="0" xfId="0" applyFont="1" applyFill="1" applyAlignment="1">
      <alignment horizontal="center" vertical="center" wrapText="1"/>
    </xf>
    <xf numFmtId="0" fontId="23" fillId="0" borderId="0" xfId="0" applyFont="1" applyAlignment="1">
      <alignment horizontal="center" vertical="center" wrapText="1"/>
    </xf>
    <xf numFmtId="0" fontId="23" fillId="0" borderId="21" xfId="0" applyFont="1" applyBorder="1" applyAlignment="1">
      <alignment horizontal="center" vertical="center" wrapText="1"/>
    </xf>
    <xf numFmtId="0" fontId="25" fillId="3" borderId="50" xfId="0" applyFont="1" applyFill="1" applyBorder="1" applyAlignment="1">
      <alignment horizontal="center" vertical="center" wrapText="1"/>
    </xf>
    <xf numFmtId="0" fontId="25" fillId="3" borderId="51" xfId="0" applyFont="1" applyFill="1" applyBorder="1" applyAlignment="1">
      <alignment horizontal="center" vertical="center" wrapText="1"/>
    </xf>
    <xf numFmtId="0" fontId="25" fillId="3" borderId="52" xfId="0" applyFont="1" applyFill="1" applyBorder="1" applyAlignment="1">
      <alignment horizontal="center" vertical="center" wrapText="1"/>
    </xf>
    <xf numFmtId="0" fontId="29" fillId="3" borderId="19" xfId="0" applyFont="1" applyFill="1" applyBorder="1" applyAlignment="1">
      <alignment horizontal="center" vertical="center" wrapText="1"/>
    </xf>
    <xf numFmtId="0" fontId="29" fillId="3" borderId="53" xfId="0" applyFont="1" applyFill="1" applyBorder="1" applyAlignment="1">
      <alignment horizontal="center" vertical="center" wrapText="1"/>
    </xf>
    <xf numFmtId="0" fontId="29" fillId="3" borderId="54" xfId="0" applyFont="1" applyFill="1" applyBorder="1" applyAlignment="1">
      <alignment horizontal="center" vertical="center" wrapText="1"/>
    </xf>
    <xf numFmtId="0" fontId="29" fillId="3" borderId="56" xfId="0" applyFont="1" applyFill="1" applyBorder="1" applyAlignment="1">
      <alignment horizontal="center" vertical="center" wrapText="1"/>
    </xf>
    <xf numFmtId="0" fontId="20" fillId="0" borderId="0" xfId="0" applyFont="1" applyAlignment="1">
      <alignment vertical="center" wrapText="1"/>
    </xf>
    <xf numFmtId="49" fontId="22" fillId="0" borderId="0" xfId="0" applyNumberFormat="1" applyFont="1" applyAlignment="1">
      <alignment vertical="center" wrapText="1"/>
    </xf>
    <xf numFmtId="0" fontId="23" fillId="0" borderId="0" xfId="0" applyFont="1" applyAlignment="1">
      <alignment vertical="center" wrapText="1"/>
    </xf>
    <xf numFmtId="0" fontId="31" fillId="0" borderId="0" xfId="0" applyFont="1" applyAlignment="1">
      <alignment horizontal="center" vertical="center"/>
    </xf>
    <xf numFmtId="49" fontId="22" fillId="0" borderId="0" xfId="0" applyNumberFormat="1" applyFont="1" applyAlignment="1">
      <alignment horizontal="center" vertical="center"/>
    </xf>
    <xf numFmtId="0" fontId="23" fillId="0" borderId="0" xfId="0" applyFont="1" applyAlignment="1">
      <alignment horizontal="center" vertical="center"/>
    </xf>
    <xf numFmtId="0" fontId="26" fillId="3" borderId="53" xfId="0" applyFont="1" applyFill="1" applyBorder="1" applyAlignment="1">
      <alignment horizontal="center" vertical="center" wrapText="1"/>
    </xf>
    <xf numFmtId="0" fontId="26" fillId="3" borderId="56" xfId="0" applyFont="1" applyFill="1" applyBorder="1" applyAlignment="1">
      <alignment horizontal="center" vertical="center" wrapText="1"/>
    </xf>
    <xf numFmtId="0" fontId="27" fillId="3" borderId="27" xfId="0" applyFont="1" applyFill="1" applyBorder="1" applyAlignment="1">
      <alignment horizontal="center" vertical="center" wrapText="1"/>
    </xf>
    <xf numFmtId="0" fontId="26" fillId="3" borderId="57" xfId="0" applyFont="1" applyFill="1" applyBorder="1" applyAlignment="1">
      <alignment horizontal="center" vertical="center" wrapText="1"/>
    </xf>
    <xf numFmtId="0" fontId="26" fillId="3" borderId="38" xfId="0" applyFont="1" applyFill="1" applyBorder="1" applyAlignment="1">
      <alignment horizontal="center" vertical="center" wrapText="1"/>
    </xf>
    <xf numFmtId="0" fontId="26" fillId="3" borderId="27" xfId="0" applyFont="1" applyFill="1" applyBorder="1" applyAlignment="1">
      <alignment horizontal="center" vertical="center" wrapText="1"/>
    </xf>
    <xf numFmtId="0" fontId="26" fillId="3" borderId="19" xfId="0" applyFont="1" applyFill="1" applyBorder="1" applyAlignment="1">
      <alignment horizontal="center" vertical="center" wrapText="1"/>
    </xf>
    <xf numFmtId="0" fontId="28" fillId="0" borderId="13" xfId="0" applyFont="1" applyBorder="1" applyAlignment="1" applyProtection="1">
      <alignment horizontal="center" vertical="center" wrapText="1"/>
      <protection locked="0"/>
    </xf>
    <xf numFmtId="0" fontId="28" fillId="0" borderId="28" xfId="0" applyFont="1" applyBorder="1" applyAlignment="1" applyProtection="1">
      <alignment horizontal="center" vertical="center" wrapText="1"/>
      <protection locked="0"/>
    </xf>
    <xf numFmtId="0" fontId="21" fillId="0" borderId="0" xfId="0" applyFont="1" applyAlignment="1">
      <alignment horizontal="center" vertical="center"/>
    </xf>
    <xf numFmtId="0" fontId="26" fillId="3" borderId="55" xfId="0" applyFont="1" applyFill="1" applyBorder="1" applyAlignment="1">
      <alignment horizontal="center" vertical="center" wrapText="1"/>
    </xf>
    <xf numFmtId="0" fontId="28" fillId="0" borderId="23" xfId="0" applyFont="1" applyBorder="1" applyAlignment="1" applyProtection="1">
      <alignment horizontal="center" vertical="center" wrapText="1"/>
      <protection locked="0"/>
    </xf>
    <xf numFmtId="0" fontId="28" fillId="0" borderId="29" xfId="0" applyFont="1" applyBorder="1" applyAlignment="1" applyProtection="1">
      <alignment horizontal="center" vertical="center" wrapText="1"/>
      <protection locked="0"/>
    </xf>
    <xf numFmtId="0" fontId="28" fillId="0" borderId="17" xfId="0" applyFont="1" applyBorder="1" applyAlignment="1" applyProtection="1">
      <alignment horizontal="center" vertical="center"/>
      <protection locked="0"/>
    </xf>
    <xf numFmtId="0" fontId="0" fillId="12" borderId="0" xfId="0" applyFill="1"/>
    <xf numFmtId="0" fontId="8" fillId="11" borderId="1" xfId="0" applyFont="1" applyFill="1" applyBorder="1"/>
    <xf numFmtId="0" fontId="25" fillId="3" borderId="40" xfId="0" applyFont="1" applyFill="1" applyBorder="1" applyAlignment="1">
      <alignment horizontal="center" vertical="center" wrapText="1"/>
    </xf>
    <xf numFmtId="0" fontId="25" fillId="3" borderId="41" xfId="0" applyFont="1" applyFill="1" applyBorder="1" applyAlignment="1">
      <alignment horizontal="center" vertical="center" wrapText="1"/>
    </xf>
    <xf numFmtId="0" fontId="25" fillId="3" borderId="27" xfId="4" applyFont="1" applyFill="1" applyBorder="1" applyAlignment="1">
      <alignment horizontal="center" vertical="center" wrapText="1"/>
    </xf>
    <xf numFmtId="0" fontId="25" fillId="3" borderId="49" xfId="0" applyFont="1" applyFill="1" applyBorder="1" applyAlignment="1">
      <alignment horizontal="center" vertical="center" wrapText="1"/>
    </xf>
    <xf numFmtId="0" fontId="25" fillId="3" borderId="58" xfId="0" applyFont="1" applyFill="1" applyBorder="1" applyAlignment="1">
      <alignment horizontal="center" vertical="center" wrapText="1"/>
    </xf>
    <xf numFmtId="0" fontId="25" fillId="3" borderId="12" xfId="4" applyFont="1" applyFill="1" applyBorder="1" applyAlignment="1">
      <alignment horizontal="center" vertical="center" wrapText="1"/>
    </xf>
    <xf numFmtId="0" fontId="25" fillId="3" borderId="41" xfId="4" applyFont="1" applyFill="1" applyBorder="1" applyAlignment="1">
      <alignment horizontal="center" vertical="center" wrapText="1"/>
    </xf>
    <xf numFmtId="0" fontId="29" fillId="3" borderId="57" xfId="4" applyFont="1" applyFill="1" applyBorder="1" applyAlignment="1">
      <alignment horizontal="center" vertical="center" wrapText="1"/>
    </xf>
    <xf numFmtId="0" fontId="29" fillId="3" borderId="56" xfId="4" applyFont="1" applyFill="1" applyBorder="1" applyAlignment="1">
      <alignment horizontal="center" vertical="center" wrapText="1"/>
    </xf>
    <xf numFmtId="0" fontId="25" fillId="3" borderId="55" xfId="4" applyFont="1" applyFill="1" applyBorder="1" applyAlignment="1">
      <alignment horizontal="center" vertical="center" wrapText="1"/>
    </xf>
    <xf numFmtId="0" fontId="25" fillId="3" borderId="50" xfId="4" applyFont="1" applyFill="1" applyBorder="1" applyAlignment="1">
      <alignment horizontal="center" vertical="center" wrapText="1"/>
    </xf>
    <xf numFmtId="0" fontId="29" fillId="3" borderId="19" xfId="4" applyFont="1" applyFill="1" applyBorder="1" applyAlignment="1">
      <alignment horizontal="center" vertical="center" wrapText="1"/>
    </xf>
    <xf numFmtId="0" fontId="25" fillId="3" borderId="39" xfId="4" applyFont="1" applyFill="1" applyBorder="1" applyAlignment="1">
      <alignment horizontal="center" vertical="center" wrapText="1"/>
    </xf>
    <xf numFmtId="49" fontId="22" fillId="9" borderId="0" xfId="0" applyNumberFormat="1" applyFont="1" applyFill="1" applyAlignment="1">
      <alignment vertical="center" wrapText="1"/>
    </xf>
    <xf numFmtId="0" fontId="31" fillId="9" borderId="0" xfId="0" applyFont="1" applyFill="1" applyAlignment="1">
      <alignment horizontal="center" vertical="center"/>
    </xf>
    <xf numFmtId="0" fontId="23" fillId="9" borderId="0" xfId="0" applyFont="1" applyFill="1" applyAlignment="1">
      <alignment vertical="center" wrapText="1"/>
    </xf>
    <xf numFmtId="49" fontId="22" fillId="9" borderId="0" xfId="0" applyNumberFormat="1" applyFont="1" applyFill="1" applyAlignment="1">
      <alignment horizontal="center" vertical="center"/>
    </xf>
    <xf numFmtId="0" fontId="23" fillId="9" borderId="0" xfId="0" applyFont="1" applyFill="1" applyAlignment="1">
      <alignment horizontal="center" vertical="center" wrapText="1"/>
    </xf>
    <xf numFmtId="0" fontId="23" fillId="9" borderId="0" xfId="0" applyFont="1" applyFill="1" applyAlignment="1">
      <alignment horizontal="center" vertical="center"/>
    </xf>
    <xf numFmtId="0" fontId="25" fillId="3" borderId="19" xfId="0" applyFont="1" applyFill="1" applyBorder="1" applyAlignment="1">
      <alignment horizontal="center" vertical="center" wrapText="1"/>
    </xf>
    <xf numFmtId="0" fontId="25" fillId="3" borderId="53" xfId="0" applyFont="1" applyFill="1" applyBorder="1" applyAlignment="1">
      <alignment horizontal="center" vertical="center" wrapText="1"/>
    </xf>
    <xf numFmtId="0" fontId="31" fillId="9" borderId="0" xfId="0" applyFont="1" applyFill="1" applyAlignment="1">
      <alignment vertical="center" wrapText="1"/>
    </xf>
    <xf numFmtId="0" fontId="21" fillId="0" borderId="0" xfId="0" applyFont="1" applyAlignment="1">
      <alignment horizontal="center"/>
    </xf>
    <xf numFmtId="0" fontId="29" fillId="3" borderId="39" xfId="4" applyFont="1" applyFill="1" applyBorder="1" applyAlignment="1">
      <alignment horizontal="center" vertical="center" wrapText="1"/>
    </xf>
    <xf numFmtId="0" fontId="25" fillId="3" borderId="5" xfId="0" applyFont="1" applyFill="1" applyBorder="1" applyAlignment="1">
      <alignment horizontal="center" vertical="center" wrapText="1"/>
    </xf>
    <xf numFmtId="0" fontId="25" fillId="3" borderId="14" xfId="0" applyFont="1" applyFill="1" applyBorder="1" applyAlignment="1">
      <alignment horizontal="center" vertical="center" wrapText="1"/>
    </xf>
    <xf numFmtId="0" fontId="25" fillId="3" borderId="51" xfId="4" applyFont="1" applyFill="1" applyBorder="1" applyAlignment="1">
      <alignment horizontal="center" vertical="center" wrapText="1"/>
    </xf>
    <xf numFmtId="0" fontId="25" fillId="3" borderId="19" xfId="4" applyFont="1" applyFill="1" applyBorder="1" applyAlignment="1">
      <alignment horizontal="center" vertical="center" wrapText="1"/>
    </xf>
    <xf numFmtId="0" fontId="29" fillId="3" borderId="53" xfId="4" applyFont="1" applyFill="1" applyBorder="1" applyAlignment="1">
      <alignment horizontal="center" vertical="center" wrapText="1"/>
    </xf>
    <xf numFmtId="0" fontId="25" fillId="3" borderId="39" xfId="0" applyFont="1" applyFill="1" applyBorder="1" applyAlignment="1">
      <alignment horizontal="center" vertical="center" wrapText="1"/>
    </xf>
    <xf numFmtId="9" fontId="28" fillId="0" borderId="46" xfId="0" applyNumberFormat="1" applyFont="1" applyBorder="1" applyAlignment="1" applyProtection="1">
      <alignment horizontal="center" vertical="center" wrapText="1"/>
      <protection locked="0"/>
    </xf>
    <xf numFmtId="9" fontId="28" fillId="0" borderId="45" xfId="0" applyNumberFormat="1" applyFont="1" applyBorder="1" applyAlignment="1" applyProtection="1">
      <alignment horizontal="center" vertical="center" wrapText="1"/>
      <protection locked="0"/>
    </xf>
    <xf numFmtId="9" fontId="28" fillId="0" borderId="7" xfId="0" applyNumberFormat="1" applyFont="1" applyBorder="1" applyAlignment="1" applyProtection="1">
      <alignment horizontal="center" vertical="center" wrapText="1"/>
      <protection locked="0"/>
    </xf>
    <xf numFmtId="9" fontId="28" fillId="0" borderId="17" xfId="0" applyNumberFormat="1" applyFont="1" applyBorder="1" applyAlignment="1" applyProtection="1">
      <alignment horizontal="center" vertical="center" wrapText="1"/>
      <protection locked="0"/>
    </xf>
    <xf numFmtId="9" fontId="28" fillId="0" borderId="13"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9" fontId="21" fillId="0" borderId="43" xfId="0" applyNumberFormat="1" applyFont="1" applyBorder="1" applyAlignment="1" applyProtection="1">
      <alignment horizontal="center" vertical="center" wrapText="1"/>
      <protection locked="0"/>
    </xf>
    <xf numFmtId="9" fontId="21" fillId="0" borderId="1" xfId="0" applyNumberFormat="1" applyFont="1" applyBorder="1" applyAlignment="1" applyProtection="1">
      <alignment horizontal="center" vertical="center" wrapText="1"/>
      <protection locked="0"/>
    </xf>
    <xf numFmtId="9" fontId="21" fillId="0" borderId="42" xfId="0" applyNumberFormat="1" applyFont="1" applyBorder="1" applyAlignment="1" applyProtection="1">
      <alignment horizontal="center" vertical="center" wrapText="1"/>
      <protection locked="0"/>
    </xf>
    <xf numFmtId="9" fontId="21" fillId="0" borderId="3" xfId="0" applyNumberFormat="1" applyFont="1" applyBorder="1" applyAlignment="1" applyProtection="1">
      <alignment horizontal="center" vertical="center" wrapText="1"/>
      <protection locked="0"/>
    </xf>
    <xf numFmtId="9" fontId="21" fillId="0" borderId="18" xfId="0" applyNumberFormat="1" applyFont="1" applyBorder="1" applyAlignment="1" applyProtection="1">
      <alignment horizontal="center" vertical="center" wrapText="1"/>
      <protection locked="0"/>
    </xf>
    <xf numFmtId="0" fontId="40" fillId="0" borderId="3" xfId="0" applyFont="1" applyBorder="1" applyAlignment="1" applyProtection="1">
      <alignment horizontal="center" vertical="center" wrapText="1"/>
      <protection locked="0"/>
    </xf>
    <xf numFmtId="0" fontId="40" fillId="0" borderId="18" xfId="0" applyFont="1" applyBorder="1" applyAlignment="1" applyProtection="1">
      <alignment horizontal="center" vertical="center" wrapText="1"/>
      <protection locked="0"/>
    </xf>
    <xf numFmtId="0" fontId="21" fillId="0" borderId="18" xfId="0" applyFont="1" applyBorder="1" applyAlignment="1" applyProtection="1">
      <alignment horizontal="center" vertical="center"/>
      <protection locked="0"/>
    </xf>
    <xf numFmtId="0" fontId="4" fillId="0" borderId="0" xfId="0" applyFont="1" applyAlignment="1">
      <alignment vertical="center"/>
    </xf>
    <xf numFmtId="0" fontId="18" fillId="5" borderId="59" xfId="0" applyFont="1" applyFill="1" applyBorder="1" applyAlignment="1">
      <alignment horizontal="center" vertical="center"/>
    </xf>
    <xf numFmtId="0" fontId="18" fillId="5" borderId="37" xfId="0" applyFont="1" applyFill="1" applyBorder="1" applyAlignment="1">
      <alignment horizontal="center" vertical="center"/>
    </xf>
    <xf numFmtId="14" fontId="42" fillId="0" borderId="6" xfId="0" applyNumberFormat="1" applyFont="1" applyBorder="1" applyAlignment="1">
      <alignment horizontal="left" vertical="center"/>
    </xf>
    <xf numFmtId="0" fontId="42" fillId="0" borderId="6" xfId="0" applyFont="1" applyBorder="1" applyAlignment="1">
      <alignment horizontal="left" vertical="center"/>
    </xf>
    <xf numFmtId="0" fontId="42" fillId="0" borderId="6" xfId="0" applyFont="1" applyBorder="1" applyAlignment="1">
      <alignment horizontal="left" vertical="center" wrapText="1"/>
    </xf>
    <xf numFmtId="14" fontId="42" fillId="0" borderId="1" xfId="0" applyNumberFormat="1" applyFont="1" applyBorder="1" applyAlignment="1">
      <alignment horizontal="left" vertical="center"/>
    </xf>
    <xf numFmtId="0" fontId="42" fillId="0" borderId="1" xfId="0" applyFont="1" applyBorder="1" applyAlignment="1">
      <alignment horizontal="left" vertical="center"/>
    </xf>
    <xf numFmtId="0" fontId="42" fillId="0" borderId="1" xfId="0" applyFont="1" applyBorder="1" applyAlignment="1">
      <alignment horizontal="left" vertical="center" wrapText="1"/>
    </xf>
    <xf numFmtId="0" fontId="9" fillId="0" borderId="0" xfId="6"/>
    <xf numFmtId="0" fontId="4" fillId="0" borderId="0" xfId="6" applyFont="1" applyAlignment="1">
      <alignment vertical="center"/>
    </xf>
    <xf numFmtId="0" fontId="18" fillId="5" borderId="64" xfId="6" applyFont="1" applyFill="1" applyBorder="1" applyAlignment="1">
      <alignment horizontal="left" vertical="center" indent="1"/>
    </xf>
    <xf numFmtId="0" fontId="4" fillId="0" borderId="45" xfId="6" applyFont="1" applyBorder="1" applyProtection="1">
      <protection locked="0"/>
    </xf>
    <xf numFmtId="0" fontId="18" fillId="5" borderId="29" xfId="6" applyFont="1" applyFill="1" applyBorder="1" applyAlignment="1">
      <alignment horizontal="left" vertical="center" indent="1"/>
    </xf>
    <xf numFmtId="0" fontId="4" fillId="0" borderId="42" xfId="6" applyFont="1" applyBorder="1" applyProtection="1">
      <protection locked="0"/>
    </xf>
    <xf numFmtId="0" fontId="18" fillId="5" borderId="29" xfId="6" applyFont="1" applyFill="1" applyBorder="1" applyAlignment="1">
      <alignment horizontal="left" vertical="center" wrapText="1" indent="1"/>
    </xf>
    <xf numFmtId="0" fontId="18" fillId="5" borderId="57" xfId="6" applyFont="1" applyFill="1" applyBorder="1" applyAlignment="1">
      <alignment horizontal="left" vertical="center" indent="1"/>
    </xf>
    <xf numFmtId="0" fontId="4" fillId="0" borderId="47" xfId="6" applyFont="1" applyBorder="1" applyProtection="1">
      <protection locked="0"/>
    </xf>
    <xf numFmtId="0" fontId="4" fillId="0" borderId="0" xfId="6" applyFont="1"/>
    <xf numFmtId="0" fontId="21" fillId="0" borderId="0" xfId="6" applyFont="1"/>
    <xf numFmtId="0" fontId="20" fillId="0" borderId="14" xfId="6" applyFont="1" applyBorder="1" applyAlignment="1">
      <alignment vertical="center" wrapText="1"/>
    </xf>
    <xf numFmtId="0" fontId="41" fillId="8" borderId="5" xfId="6" applyFont="1" applyFill="1" applyBorder="1"/>
    <xf numFmtId="0" fontId="41" fillId="8" borderId="14" xfId="6" applyFont="1" applyFill="1" applyBorder="1"/>
    <xf numFmtId="0" fontId="41" fillId="8" borderId="10" xfId="6" applyFont="1" applyFill="1" applyBorder="1"/>
    <xf numFmtId="0" fontId="33" fillId="0" borderId="0" xfId="6" applyFont="1"/>
    <xf numFmtId="49" fontId="22" fillId="0" borderId="0" xfId="6" applyNumberFormat="1" applyFont="1" applyAlignment="1">
      <alignment vertical="center" wrapText="1"/>
    </xf>
    <xf numFmtId="0" fontId="31" fillId="0" borderId="0" xfId="6" applyFont="1" applyAlignment="1">
      <alignment horizontal="center" vertical="center"/>
    </xf>
    <xf numFmtId="0" fontId="21" fillId="0" borderId="11" xfId="6" applyFont="1" applyBorder="1"/>
    <xf numFmtId="0" fontId="21" fillId="0" borderId="12" xfId="6" applyFont="1" applyBorder="1"/>
    <xf numFmtId="0" fontId="23" fillId="0" borderId="0" xfId="6" applyFont="1" applyAlignment="1">
      <alignment vertical="center" wrapText="1"/>
    </xf>
    <xf numFmtId="0" fontId="23" fillId="0" borderId="0" xfId="6" applyFont="1" applyAlignment="1">
      <alignment horizontal="center" vertical="center"/>
    </xf>
    <xf numFmtId="0" fontId="21" fillId="0" borderId="0" xfId="6" applyFont="1" applyAlignment="1">
      <alignment horizontal="left"/>
    </xf>
    <xf numFmtId="0" fontId="21" fillId="0" borderId="0" xfId="6" applyFont="1" applyAlignment="1">
      <alignment horizontal="left" wrapText="1"/>
    </xf>
    <xf numFmtId="0" fontId="21" fillId="0" borderId="0" xfId="6" applyFont="1" applyAlignment="1">
      <alignment horizontal="right"/>
    </xf>
    <xf numFmtId="49" fontId="4" fillId="0" borderId="0" xfId="7" applyNumberFormat="1" applyAlignment="1">
      <alignment horizontal="centerContinuous" vertical="center"/>
    </xf>
    <xf numFmtId="0" fontId="24" fillId="4" borderId="5" xfId="6" applyFont="1" applyFill="1" applyBorder="1" applyAlignment="1">
      <alignment vertical="center"/>
    </xf>
    <xf numFmtId="0" fontId="24" fillId="4" borderId="14" xfId="6" applyFont="1" applyFill="1" applyBorder="1" applyAlignment="1">
      <alignment vertical="center" wrapText="1"/>
    </xf>
    <xf numFmtId="0" fontId="24" fillId="4" borderId="10" xfId="6" applyFont="1" applyFill="1" applyBorder="1" applyAlignment="1">
      <alignment vertical="center" wrapText="1"/>
    </xf>
    <xf numFmtId="0" fontId="21" fillId="0" borderId="38" xfId="6" applyFont="1" applyBorder="1"/>
    <xf numFmtId="0" fontId="21" fillId="0" borderId="21" xfId="6" applyFont="1" applyBorder="1"/>
    <xf numFmtId="0" fontId="21" fillId="0" borderId="39" xfId="6" applyFont="1" applyBorder="1"/>
    <xf numFmtId="0" fontId="35" fillId="0" borderId="0" xfId="6" applyFont="1"/>
    <xf numFmtId="0" fontId="18" fillId="10" borderId="36" xfId="8" applyFont="1" applyFill="1" applyBorder="1" applyAlignment="1">
      <alignment horizontal="center" vertical="center" wrapText="1"/>
    </xf>
    <xf numFmtId="0" fontId="19" fillId="9" borderId="0" xfId="6" applyFont="1" applyFill="1" applyAlignment="1">
      <alignment horizontal="center" wrapText="1"/>
    </xf>
    <xf numFmtId="0" fontId="18" fillId="10" borderId="11" xfId="8" applyFont="1" applyFill="1" applyBorder="1" applyAlignment="1">
      <alignment horizontal="center" vertical="center" wrapText="1"/>
    </xf>
    <xf numFmtId="0" fontId="18" fillId="10" borderId="0" xfId="8" applyFont="1" applyFill="1" applyAlignment="1">
      <alignment horizontal="center" vertical="center" wrapText="1"/>
    </xf>
    <xf numFmtId="0" fontId="18" fillId="10" borderId="12" xfId="8" applyFont="1" applyFill="1" applyBorder="1" applyAlignment="1">
      <alignment horizontal="center" vertical="center" wrapText="1"/>
    </xf>
    <xf numFmtId="0" fontId="25" fillId="3" borderId="14" xfId="6" applyFont="1" applyFill="1" applyBorder="1" applyAlignment="1">
      <alignment horizontal="center" vertical="center" wrapText="1"/>
    </xf>
    <xf numFmtId="0" fontId="25" fillId="3" borderId="52" xfId="6" applyFont="1" applyFill="1" applyBorder="1" applyAlignment="1">
      <alignment horizontal="center" vertical="center" wrapText="1"/>
    </xf>
    <xf numFmtId="0" fontId="25" fillId="3" borderId="50" xfId="6" applyFont="1" applyFill="1" applyBorder="1" applyAlignment="1">
      <alignment horizontal="center" vertical="center" wrapText="1"/>
    </xf>
    <xf numFmtId="0" fontId="25" fillId="3" borderId="62" xfId="6" applyFont="1" applyFill="1" applyBorder="1" applyAlignment="1">
      <alignment horizontal="center" vertical="center" wrapText="1"/>
    </xf>
    <xf numFmtId="0" fontId="25" fillId="3" borderId="55" xfId="6" applyFont="1" applyFill="1" applyBorder="1" applyAlignment="1">
      <alignment horizontal="center" vertical="center" wrapText="1"/>
    </xf>
    <xf numFmtId="0" fontId="25" fillId="3" borderId="51" xfId="6" applyFont="1" applyFill="1" applyBorder="1" applyAlignment="1">
      <alignment horizontal="center" vertical="center" wrapText="1"/>
    </xf>
    <xf numFmtId="0" fontId="25" fillId="3" borderId="5" xfId="6" applyFont="1" applyFill="1" applyBorder="1" applyAlignment="1">
      <alignment horizontal="center" vertical="center" wrapText="1"/>
    </xf>
    <xf numFmtId="0" fontId="18" fillId="3" borderId="55" xfId="6" applyFont="1" applyFill="1" applyBorder="1" applyAlignment="1">
      <alignment horizontal="center" vertical="center" wrapText="1"/>
    </xf>
    <xf numFmtId="0" fontId="25" fillId="3" borderId="27" xfId="6" applyFont="1" applyFill="1" applyBorder="1" applyAlignment="1">
      <alignment horizontal="center" vertical="center" wrapText="1"/>
    </xf>
    <xf numFmtId="0" fontId="19" fillId="10" borderId="38" xfId="8" applyFont="1" applyFill="1" applyBorder="1" applyAlignment="1">
      <alignment horizontal="center" vertical="center" wrapText="1"/>
    </xf>
    <xf numFmtId="0" fontId="19" fillId="10" borderId="21" xfId="8" applyFont="1" applyFill="1" applyBorder="1" applyAlignment="1">
      <alignment horizontal="center" vertical="center"/>
    </xf>
    <xf numFmtId="0" fontId="19" fillId="10" borderId="39" xfId="8" applyFont="1" applyFill="1" applyBorder="1" applyAlignment="1">
      <alignment horizontal="center" vertical="center" wrapText="1"/>
    </xf>
    <xf numFmtId="0" fontId="25" fillId="3" borderId="21" xfId="6" applyFont="1" applyFill="1" applyBorder="1" applyAlignment="1">
      <alignment horizontal="center" vertical="center" wrapText="1"/>
    </xf>
    <xf numFmtId="0" fontId="29" fillId="3" borderId="54" xfId="6" applyFont="1" applyFill="1" applyBorder="1" applyAlignment="1">
      <alignment horizontal="center" vertical="center" wrapText="1"/>
    </xf>
    <xf numFmtId="0" fontId="38" fillId="3" borderId="19" xfId="6" applyFont="1" applyFill="1" applyBorder="1" applyAlignment="1">
      <alignment horizontal="center" vertical="center" wrapText="1"/>
    </xf>
    <xf numFmtId="0" fontId="38" fillId="3" borderId="53" xfId="6" applyFont="1" applyFill="1" applyBorder="1" applyAlignment="1">
      <alignment horizontal="center" vertical="center" wrapText="1"/>
    </xf>
    <xf numFmtId="0" fontId="38" fillId="3" borderId="56" xfId="6" applyFont="1" applyFill="1" applyBorder="1" applyAlignment="1">
      <alignment horizontal="center" vertical="center" wrapText="1"/>
    </xf>
    <xf numFmtId="0" fontId="29" fillId="3" borderId="63" xfId="6" applyFont="1" applyFill="1" applyBorder="1" applyAlignment="1">
      <alignment horizontal="center" vertical="center" wrapText="1"/>
    </xf>
    <xf numFmtId="0" fontId="25" fillId="3" borderId="54" xfId="6" applyFont="1" applyFill="1" applyBorder="1" applyAlignment="1">
      <alignment horizontal="center" vertical="center" wrapText="1"/>
    </xf>
    <xf numFmtId="0" fontId="29" fillId="3" borderId="38" xfId="6" applyFont="1" applyFill="1" applyBorder="1" applyAlignment="1">
      <alignment horizontal="center" vertical="center" wrapText="1"/>
    </xf>
    <xf numFmtId="0" fontId="19" fillId="3" borderId="56" xfId="6" applyFont="1" applyFill="1" applyBorder="1" applyAlignment="1">
      <alignment horizontal="center" vertical="center" wrapText="1"/>
    </xf>
    <xf numFmtId="0" fontId="28" fillId="0" borderId="0" xfId="6" applyFont="1" applyAlignment="1">
      <alignment horizontal="center" vertical="center"/>
    </xf>
    <xf numFmtId="0" fontId="20" fillId="0" borderId="0" xfId="6" applyFont="1" applyAlignment="1">
      <alignment vertical="center" wrapText="1"/>
    </xf>
    <xf numFmtId="0" fontId="29" fillId="14" borderId="5" xfId="6" applyFont="1" applyFill="1" applyBorder="1"/>
    <xf numFmtId="0" fontId="29" fillId="14" borderId="14" xfId="6" applyFont="1" applyFill="1" applyBorder="1"/>
    <xf numFmtId="0" fontId="29" fillId="14" borderId="10" xfId="6" applyFont="1" applyFill="1" applyBorder="1"/>
    <xf numFmtId="0" fontId="21" fillId="15" borderId="11" xfId="6" applyFont="1" applyFill="1" applyBorder="1"/>
    <xf numFmtId="0" fontId="21" fillId="15" borderId="0" xfId="6" applyFont="1" applyFill="1"/>
    <xf numFmtId="0" fontId="21" fillId="15" borderId="12" xfId="6" applyFont="1" applyFill="1" applyBorder="1"/>
    <xf numFmtId="0" fontId="23" fillId="0" borderId="0" xfId="6" applyFont="1" applyAlignment="1">
      <alignment horizontal="center" vertical="center" wrapText="1"/>
    </xf>
    <xf numFmtId="0" fontId="18" fillId="10" borderId="15" xfId="8" applyFont="1" applyFill="1" applyBorder="1" applyAlignment="1">
      <alignment horizontal="center" vertical="center" wrapText="1"/>
    </xf>
    <xf numFmtId="0" fontId="21" fillId="15" borderId="38" xfId="6" applyFont="1" applyFill="1" applyBorder="1"/>
    <xf numFmtId="0" fontId="21" fillId="15" borderId="21" xfId="6" applyFont="1" applyFill="1" applyBorder="1"/>
    <xf numFmtId="0" fontId="21" fillId="15" borderId="39" xfId="6" applyFont="1" applyFill="1" applyBorder="1"/>
    <xf numFmtId="0" fontId="18" fillId="10" borderId="36" xfId="8" applyFont="1" applyFill="1" applyBorder="1" applyAlignment="1">
      <alignment vertical="center" wrapText="1"/>
    </xf>
    <xf numFmtId="0" fontId="18" fillId="10" borderId="16" xfId="8" applyFont="1" applyFill="1" applyBorder="1" applyAlignment="1">
      <alignment vertical="center" wrapText="1"/>
    </xf>
    <xf numFmtId="0" fontId="18" fillId="10" borderId="14" xfId="8" applyFont="1" applyFill="1" applyBorder="1" applyAlignment="1">
      <alignment horizontal="center" vertical="center" wrapText="1"/>
    </xf>
    <xf numFmtId="0" fontId="18" fillId="10" borderId="37" xfId="8" applyFont="1" applyFill="1" applyBorder="1" applyAlignment="1">
      <alignment horizontal="center" vertical="center" wrapText="1"/>
    </xf>
    <xf numFmtId="0" fontId="25" fillId="3" borderId="41" xfId="6" applyFont="1" applyFill="1" applyBorder="1" applyAlignment="1">
      <alignment horizontal="center" vertical="center" wrapText="1"/>
    </xf>
    <xf numFmtId="0" fontId="25" fillId="3" borderId="49" xfId="6" applyFont="1" applyFill="1" applyBorder="1" applyAlignment="1">
      <alignment horizontal="center" vertical="center" wrapText="1"/>
    </xf>
    <xf numFmtId="0" fontId="25" fillId="3" borderId="58" xfId="6" applyFont="1" applyFill="1" applyBorder="1" applyAlignment="1">
      <alignment horizontal="center" vertical="center" wrapText="1"/>
    </xf>
    <xf numFmtId="0" fontId="25" fillId="3" borderId="22" xfId="6" applyFont="1" applyFill="1" applyBorder="1" applyAlignment="1">
      <alignment horizontal="center" vertical="center" wrapText="1"/>
    </xf>
    <xf numFmtId="0" fontId="25" fillId="3" borderId="10" xfId="6" applyFont="1" applyFill="1" applyBorder="1" applyAlignment="1">
      <alignment horizontal="center" vertical="center" wrapText="1"/>
    </xf>
    <xf numFmtId="0" fontId="42" fillId="9" borderId="0" xfId="6" applyFont="1" applyFill="1" applyAlignment="1">
      <alignment horizontal="center" wrapText="1"/>
    </xf>
    <xf numFmtId="0" fontId="19" fillId="10" borderId="21" xfId="8" applyFont="1" applyFill="1" applyBorder="1" applyAlignment="1">
      <alignment horizontal="center" vertical="center" wrapText="1"/>
    </xf>
    <xf numFmtId="0" fontId="29" fillId="3" borderId="57" xfId="6" applyFont="1" applyFill="1" applyBorder="1" applyAlignment="1">
      <alignment horizontal="center" vertical="center" wrapText="1"/>
    </xf>
    <xf numFmtId="0" fontId="29" fillId="3" borderId="56" xfId="6" applyFont="1" applyFill="1" applyBorder="1" applyAlignment="1">
      <alignment horizontal="center" vertical="center" wrapText="1"/>
    </xf>
    <xf numFmtId="0" fontId="29" fillId="3" borderId="19" xfId="6" applyFont="1" applyFill="1" applyBorder="1" applyAlignment="1">
      <alignment horizontal="center" vertical="center" wrapText="1"/>
    </xf>
    <xf numFmtId="0" fontId="25" fillId="3" borderId="39" xfId="6" applyFont="1" applyFill="1" applyBorder="1" applyAlignment="1">
      <alignment horizontal="center" vertical="center" wrapText="1"/>
    </xf>
    <xf numFmtId="0" fontId="28" fillId="0" borderId="0" xfId="6" applyFont="1" applyAlignment="1" applyProtection="1">
      <alignment horizontal="left" vertical="center" wrapText="1"/>
      <protection locked="0"/>
    </xf>
    <xf numFmtId="0" fontId="27" fillId="3" borderId="58" xfId="0" applyFont="1" applyFill="1" applyBorder="1" applyAlignment="1">
      <alignment horizontal="center" vertical="center" wrapText="1"/>
    </xf>
    <xf numFmtId="0" fontId="29" fillId="3" borderId="57" xfId="0" applyFont="1" applyFill="1" applyBorder="1" applyAlignment="1">
      <alignment horizontal="center" vertical="center" wrapText="1"/>
    </xf>
    <xf numFmtId="0" fontId="29" fillId="3" borderId="19" xfId="0" applyFont="1" applyFill="1" applyBorder="1" applyAlignment="1">
      <alignment horizontal="center" vertical="center"/>
    </xf>
    <xf numFmtId="0" fontId="29" fillId="3" borderId="53" xfId="0" applyFont="1" applyFill="1" applyBorder="1" applyAlignment="1">
      <alignment horizontal="center" vertical="center"/>
    </xf>
    <xf numFmtId="49" fontId="48" fillId="0" borderId="0" xfId="0" applyNumberFormat="1" applyFont="1" applyAlignment="1">
      <alignment horizontal="center" vertical="center"/>
    </xf>
    <xf numFmtId="0" fontId="25" fillId="3" borderId="62" xfId="0" applyFont="1" applyFill="1" applyBorder="1" applyAlignment="1">
      <alignment horizontal="center" vertical="center" wrapText="1"/>
    </xf>
    <xf numFmtId="0" fontId="29" fillId="3" borderId="63" xfId="0" applyFont="1" applyFill="1" applyBorder="1" applyAlignment="1">
      <alignment horizontal="center" vertical="center" wrapText="1"/>
    </xf>
    <xf numFmtId="0" fontId="25" fillId="3" borderId="56" xfId="0" applyFont="1" applyFill="1" applyBorder="1" applyAlignment="1">
      <alignment horizontal="center" vertical="center"/>
    </xf>
    <xf numFmtId="0" fontId="25" fillId="10" borderId="16" xfId="3" applyFont="1" applyFill="1" applyBorder="1" applyAlignment="1">
      <alignment horizontal="center" vertical="center"/>
    </xf>
    <xf numFmtId="0" fontId="26" fillId="3" borderId="21" xfId="0" applyFont="1" applyFill="1" applyBorder="1" applyAlignment="1">
      <alignment horizontal="center" vertical="center" wrapText="1"/>
    </xf>
    <xf numFmtId="0" fontId="28" fillId="0" borderId="24" xfId="0" applyFont="1" applyBorder="1" applyAlignment="1" applyProtection="1">
      <alignment horizontal="center" vertical="center" wrapText="1"/>
      <protection locked="0"/>
    </xf>
    <xf numFmtId="0" fontId="28" fillId="0" borderId="25" xfId="0" applyFont="1" applyBorder="1" applyAlignment="1" applyProtection="1">
      <alignment horizontal="center" vertical="center" wrapText="1"/>
      <protection locked="0"/>
    </xf>
    <xf numFmtId="0" fontId="28" fillId="0" borderId="26" xfId="0" applyFont="1" applyBorder="1" applyAlignment="1" applyProtection="1">
      <alignment horizontal="center" vertical="center" wrapText="1"/>
      <protection locked="0"/>
    </xf>
    <xf numFmtId="0" fontId="27" fillId="3" borderId="48" xfId="0" applyFont="1" applyFill="1" applyBorder="1" applyAlignment="1">
      <alignment horizontal="center" vertical="center" wrapText="1"/>
    </xf>
    <xf numFmtId="0" fontId="50" fillId="4" borderId="38" xfId="0" applyFont="1" applyFill="1" applyBorder="1" applyAlignment="1">
      <alignment vertical="center" wrapText="1"/>
    </xf>
    <xf numFmtId="0" fontId="50" fillId="4" borderId="21" xfId="0" applyFont="1" applyFill="1" applyBorder="1" applyAlignment="1">
      <alignment vertical="center" wrapText="1"/>
    </xf>
    <xf numFmtId="0" fontId="25" fillId="10" borderId="37" xfId="3" applyFont="1" applyFill="1" applyBorder="1" applyAlignment="1">
      <alignment horizontal="center" vertical="center"/>
    </xf>
    <xf numFmtId="0" fontId="29" fillId="3" borderId="51" xfId="0" applyFont="1" applyFill="1" applyBorder="1" applyAlignment="1">
      <alignment horizontal="center" vertical="center" wrapText="1"/>
    </xf>
    <xf numFmtId="0" fontId="29" fillId="3" borderId="38" xfId="0" applyFont="1" applyFill="1" applyBorder="1" applyAlignment="1">
      <alignment horizontal="center" vertical="center" wrapText="1"/>
    </xf>
    <xf numFmtId="0" fontId="29" fillId="3" borderId="39" xfId="0" applyFont="1" applyFill="1" applyBorder="1" applyAlignment="1">
      <alignment horizontal="center" vertical="center" wrapText="1"/>
    </xf>
    <xf numFmtId="0" fontId="26" fillId="3" borderId="63" xfId="0" applyFont="1" applyFill="1" applyBorder="1" applyAlignment="1">
      <alignment horizontal="center" vertical="center" wrapText="1"/>
    </xf>
    <xf numFmtId="0" fontId="0" fillId="0" borderId="0" xfId="0" applyAlignment="1">
      <alignment vertical="center"/>
    </xf>
    <xf numFmtId="0" fontId="14" fillId="9" borderId="0" xfId="0" applyFont="1" applyFill="1" applyAlignment="1" applyProtection="1">
      <alignment vertical="center"/>
      <protection locked="0"/>
    </xf>
    <xf numFmtId="0" fontId="0" fillId="9" borderId="0" xfId="0" applyFill="1" applyAlignment="1">
      <alignment vertical="center"/>
    </xf>
    <xf numFmtId="0" fontId="0" fillId="9" borderId="69" xfId="0" applyFill="1" applyBorder="1" applyAlignment="1" applyProtection="1">
      <alignment vertical="center"/>
      <protection locked="0"/>
    </xf>
    <xf numFmtId="0" fontId="0" fillId="9" borderId="70" xfId="0" applyFill="1" applyBorder="1" applyAlignment="1" applyProtection="1">
      <alignment vertical="center"/>
      <protection locked="0"/>
    </xf>
    <xf numFmtId="0" fontId="0" fillId="9" borderId="71" xfId="0" applyFill="1" applyBorder="1" applyAlignment="1" applyProtection="1">
      <alignment vertical="center"/>
      <protection locked="0"/>
    </xf>
    <xf numFmtId="0" fontId="0" fillId="9" borderId="0" xfId="0" applyFill="1" applyAlignment="1" applyProtection="1">
      <alignment vertical="center"/>
      <protection locked="0"/>
    </xf>
    <xf numFmtId="0" fontId="0" fillId="9" borderId="0" xfId="0" applyFill="1" applyAlignment="1" applyProtection="1">
      <alignment horizontal="right" vertical="center"/>
      <protection locked="0"/>
    </xf>
    <xf numFmtId="0" fontId="16" fillId="9" borderId="0" xfId="0" applyFont="1" applyFill="1" applyAlignment="1">
      <alignment vertical="center"/>
    </xf>
    <xf numFmtId="0" fontId="16" fillId="9" borderId="0" xfId="0" applyFont="1" applyFill="1" applyAlignment="1" applyProtection="1">
      <alignment vertical="center"/>
      <protection locked="0"/>
    </xf>
    <xf numFmtId="0" fontId="28" fillId="0" borderId="46" xfId="0" applyFont="1" applyBorder="1" applyAlignment="1" applyProtection="1">
      <alignment horizontal="center" vertical="center" wrapText="1"/>
      <protection locked="0"/>
    </xf>
    <xf numFmtId="0" fontId="28" fillId="0" borderId="43" xfId="0" applyFont="1" applyBorder="1" applyAlignment="1" applyProtection="1">
      <alignment horizontal="center" vertical="center" wrapText="1"/>
      <protection locked="0"/>
    </xf>
    <xf numFmtId="0" fontId="26" fillId="3" borderId="11" xfId="0" applyFont="1" applyFill="1" applyBorder="1" applyAlignment="1">
      <alignment horizontal="center" vertical="center" wrapText="1"/>
    </xf>
    <xf numFmtId="0" fontId="30" fillId="3" borderId="11" xfId="0" applyFont="1" applyFill="1" applyBorder="1" applyAlignment="1">
      <alignment horizontal="center" vertical="center" wrapText="1"/>
    </xf>
    <xf numFmtId="0" fontId="27" fillId="3" borderId="55" xfId="0" applyFont="1" applyFill="1" applyBorder="1" applyAlignment="1">
      <alignment horizontal="center" vertical="center" wrapText="1"/>
    </xf>
    <xf numFmtId="0" fontId="27" fillId="3" borderId="12" xfId="0" applyFont="1" applyFill="1" applyBorder="1" applyAlignment="1">
      <alignment horizontal="center" vertical="center" wrapText="1"/>
    </xf>
    <xf numFmtId="0" fontId="26" fillId="3" borderId="51" xfId="0" applyFont="1" applyFill="1" applyBorder="1" applyAlignment="1">
      <alignment horizontal="center" vertical="center" wrapText="1"/>
    </xf>
    <xf numFmtId="0" fontId="26" fillId="3" borderId="12" xfId="0" applyFont="1" applyFill="1" applyBorder="1" applyAlignment="1">
      <alignment horizontal="center" vertical="center" wrapText="1"/>
    </xf>
    <xf numFmtId="0" fontId="27" fillId="3" borderId="15" xfId="0" applyFont="1" applyFill="1" applyBorder="1" applyAlignment="1">
      <alignment horizontal="center" vertical="center" wrapText="1"/>
    </xf>
    <xf numFmtId="0" fontId="27" fillId="3" borderId="11" xfId="0" applyFont="1" applyFill="1" applyBorder="1" applyAlignment="1">
      <alignment horizontal="center" vertical="center" wrapText="1"/>
    </xf>
    <xf numFmtId="0" fontId="29" fillId="3" borderId="21" xfId="0" applyFont="1" applyFill="1" applyBorder="1" applyAlignment="1">
      <alignment horizontal="center" vertical="center" wrapText="1"/>
    </xf>
    <xf numFmtId="0" fontId="27" fillId="3" borderId="37" xfId="0" applyFont="1" applyFill="1" applyBorder="1" applyAlignment="1">
      <alignment horizontal="center" vertical="center" wrapText="1"/>
    </xf>
    <xf numFmtId="0" fontId="27" fillId="3" borderId="36" xfId="0" applyFont="1" applyFill="1" applyBorder="1" applyAlignment="1">
      <alignment horizontal="center" vertical="center" wrapText="1"/>
    </xf>
    <xf numFmtId="0" fontId="26" fillId="3" borderId="39" xfId="0" applyFont="1" applyFill="1" applyBorder="1" applyAlignment="1">
      <alignment horizontal="center" vertical="center" wrapText="1"/>
    </xf>
    <xf numFmtId="0" fontId="28" fillId="0" borderId="35" xfId="0" applyFont="1" applyBorder="1" applyAlignment="1" applyProtection="1">
      <alignment horizontal="center" vertical="center" wrapText="1"/>
      <protection locked="0"/>
    </xf>
    <xf numFmtId="0" fontId="28" fillId="0" borderId="20" xfId="0" applyFont="1" applyBorder="1" applyAlignment="1" applyProtection="1">
      <alignment horizontal="center" vertical="center" wrapText="1"/>
      <protection locked="0"/>
    </xf>
    <xf numFmtId="0" fontId="28" fillId="0" borderId="33" xfId="0" applyFont="1" applyBorder="1" applyAlignment="1" applyProtection="1">
      <alignment horizontal="center" vertical="center" wrapText="1"/>
      <protection locked="0"/>
    </xf>
    <xf numFmtId="9" fontId="28" fillId="0" borderId="75" xfId="0" applyNumberFormat="1" applyFont="1" applyBorder="1" applyAlignment="1" applyProtection="1">
      <alignment horizontal="center" vertical="center" wrapText="1"/>
      <protection locked="0"/>
    </xf>
    <xf numFmtId="9" fontId="28" fillId="0" borderId="76" xfId="0" applyNumberFormat="1" applyFont="1" applyBorder="1" applyAlignment="1" applyProtection="1">
      <alignment horizontal="center" vertical="center" wrapText="1"/>
      <protection locked="0"/>
    </xf>
    <xf numFmtId="9" fontId="28" fillId="0" borderId="28" xfId="0" applyNumberFormat="1" applyFont="1" applyBorder="1" applyAlignment="1" applyProtection="1">
      <alignment horizontal="center" vertical="center" wrapText="1"/>
      <protection locked="0"/>
    </xf>
    <xf numFmtId="9" fontId="28" fillId="0" borderId="23" xfId="0" applyNumberFormat="1" applyFont="1" applyBorder="1" applyAlignment="1" applyProtection="1">
      <alignment horizontal="center" vertical="center" wrapText="1"/>
      <protection locked="0"/>
    </xf>
    <xf numFmtId="9" fontId="28" fillId="0" borderId="29" xfId="0" applyNumberFormat="1" applyFont="1" applyBorder="1" applyAlignment="1" applyProtection="1">
      <alignment horizontal="center" vertical="center" wrapText="1"/>
      <protection locked="0"/>
    </xf>
    <xf numFmtId="9" fontId="28" fillId="0" borderId="33" xfId="0" applyNumberFormat="1" applyFont="1" applyBorder="1" applyAlignment="1" applyProtection="1">
      <alignment horizontal="center" vertical="center" wrapText="1"/>
      <protection locked="0"/>
    </xf>
    <xf numFmtId="2" fontId="28" fillId="13" borderId="45" xfId="6" applyNumberFormat="1" applyFont="1" applyFill="1" applyBorder="1" applyAlignment="1">
      <alignment horizontal="center" vertical="center" wrapText="1"/>
    </xf>
    <xf numFmtId="2" fontId="28" fillId="13" borderId="39" xfId="6" applyNumberFormat="1" applyFont="1" applyFill="1" applyBorder="1" applyAlignment="1">
      <alignment horizontal="center" vertical="center" wrapText="1"/>
    </xf>
    <xf numFmtId="0" fontId="28" fillId="13" borderId="8" xfId="6" applyFont="1" applyFill="1" applyBorder="1" applyAlignment="1">
      <alignment horizontal="center" vertical="center" wrapText="1"/>
    </xf>
    <xf numFmtId="0" fontId="28" fillId="13" borderId="54" xfId="6" applyFont="1" applyFill="1" applyBorder="1" applyAlignment="1">
      <alignment horizontal="center" vertical="center" wrapText="1"/>
    </xf>
    <xf numFmtId="0" fontId="3" fillId="0" borderId="0" xfId="9" applyFont="1"/>
    <xf numFmtId="0" fontId="3" fillId="6" borderId="0" xfId="9" applyFont="1" applyFill="1"/>
    <xf numFmtId="0" fontId="3" fillId="0" borderId="0" xfId="4" applyFont="1" applyAlignment="1">
      <alignment vertical="top"/>
    </xf>
    <xf numFmtId="0" fontId="54" fillId="0" borderId="0" xfId="9" applyFont="1"/>
    <xf numFmtId="0" fontId="3" fillId="0" borderId="0" xfId="9" applyFont="1" applyAlignment="1">
      <alignment vertical="center" wrapText="1"/>
    </xf>
    <xf numFmtId="0" fontId="3" fillId="0" borderId="0" xfId="4" quotePrefix="1" applyFont="1" applyAlignment="1">
      <alignment vertical="center"/>
    </xf>
    <xf numFmtId="0" fontId="3" fillId="0" borderId="0" xfId="4" quotePrefix="1" applyFont="1" applyAlignment="1">
      <alignment wrapText="1"/>
    </xf>
    <xf numFmtId="0" fontId="3" fillId="0" borderId="0" xfId="4" quotePrefix="1" applyFont="1" applyAlignment="1">
      <alignment vertical="center" wrapText="1"/>
    </xf>
    <xf numFmtId="0" fontId="3" fillId="0" borderId="0" xfId="4" quotePrefix="1" applyFont="1" applyAlignment="1">
      <alignment vertical="top" wrapText="1"/>
    </xf>
    <xf numFmtId="0" fontId="3" fillId="0" borderId="0" xfId="9" applyFont="1" applyAlignment="1">
      <alignment vertical="top" wrapText="1"/>
    </xf>
    <xf numFmtId="0" fontId="57" fillId="0" borderId="0" xfId="9" applyFont="1" applyAlignment="1">
      <alignment horizontal="left"/>
    </xf>
    <xf numFmtId="0" fontId="58" fillId="0" borderId="0" xfId="9" applyFont="1"/>
    <xf numFmtId="0" fontId="41" fillId="0" borderId="21" xfId="9" applyFont="1" applyBorder="1" applyAlignment="1">
      <alignment horizontal="left"/>
    </xf>
    <xf numFmtId="0" fontId="58" fillId="0" borderId="21" xfId="9" applyFont="1" applyBorder="1"/>
    <xf numFmtId="0" fontId="59" fillId="0" borderId="0" xfId="9" applyFont="1" applyAlignment="1">
      <alignment horizontal="left"/>
    </xf>
    <xf numFmtId="0" fontId="3" fillId="0" borderId="0" xfId="9" applyFont="1" applyAlignment="1">
      <alignment wrapText="1"/>
    </xf>
    <xf numFmtId="0" fontId="3" fillId="0" borderId="21" xfId="9" applyFont="1" applyBorder="1"/>
    <xf numFmtId="0" fontId="3" fillId="0" borderId="0" xfId="9" applyFont="1" applyAlignment="1">
      <alignment horizontal="center"/>
    </xf>
    <xf numFmtId="0" fontId="59" fillId="0" borderId="0" xfId="9" applyFont="1" applyAlignment="1">
      <alignment horizontal="left" vertical="center" wrapText="1"/>
    </xf>
    <xf numFmtId="0" fontId="3" fillId="7" borderId="0" xfId="9" applyFont="1" applyFill="1"/>
    <xf numFmtId="0" fontId="26" fillId="3" borderId="41" xfId="0" applyFont="1" applyFill="1" applyBorder="1" applyAlignment="1">
      <alignment horizontal="center" vertical="center" wrapText="1"/>
    </xf>
    <xf numFmtId="0" fontId="26" fillId="3" borderId="49" xfId="0" applyFont="1" applyFill="1" applyBorder="1" applyAlignment="1">
      <alignment horizontal="center" vertical="center" wrapText="1"/>
    </xf>
    <xf numFmtId="0" fontId="26" fillId="3" borderId="58" xfId="0" applyFont="1" applyFill="1" applyBorder="1" applyAlignment="1">
      <alignment horizontal="center" vertical="center" wrapText="1"/>
    </xf>
    <xf numFmtId="0" fontId="26" fillId="3" borderId="0" xfId="0" applyFont="1" applyFill="1" applyAlignment="1">
      <alignment horizontal="center" vertical="center" wrapText="1"/>
    </xf>
    <xf numFmtId="0" fontId="28" fillId="0" borderId="30" xfId="0" applyFont="1" applyBorder="1" applyAlignment="1" applyProtection="1">
      <alignment horizontal="center" vertical="center" wrapText="1"/>
      <protection locked="0"/>
    </xf>
    <xf numFmtId="9" fontId="28" fillId="0" borderId="84" xfId="0" applyNumberFormat="1" applyFont="1" applyBorder="1" applyAlignment="1" applyProtection="1">
      <alignment horizontal="center" vertical="center" wrapText="1"/>
      <protection locked="0"/>
    </xf>
    <xf numFmtId="9" fontId="28" fillId="0" borderId="61" xfId="0" applyNumberFormat="1" applyFont="1" applyBorder="1" applyAlignment="1" applyProtection="1">
      <alignment horizontal="center" vertical="center" wrapText="1"/>
      <protection locked="0"/>
    </xf>
    <xf numFmtId="0" fontId="28" fillId="0" borderId="61" xfId="0" applyFont="1" applyBorder="1" applyAlignment="1" applyProtection="1">
      <alignment horizontal="center" vertical="center" wrapText="1"/>
      <protection locked="0"/>
    </xf>
    <xf numFmtId="0" fontId="42" fillId="0" borderId="51" xfId="0" applyFont="1" applyBorder="1" applyAlignment="1" applyProtection="1">
      <alignment horizontal="center" vertical="center" wrapText="1"/>
      <protection locked="0"/>
    </xf>
    <xf numFmtId="0" fontId="42" fillId="0" borderId="55" xfId="0" applyFont="1" applyBorder="1" applyAlignment="1" applyProtection="1">
      <alignment horizontal="center" vertical="center" wrapText="1"/>
      <protection locked="0"/>
    </xf>
    <xf numFmtId="0" fontId="42" fillId="0" borderId="9" xfId="0" applyFont="1" applyBorder="1" applyAlignment="1" applyProtection="1">
      <alignment horizontal="center" vertical="center" wrapText="1"/>
      <protection locked="0"/>
    </xf>
    <xf numFmtId="0" fontId="42" fillId="0" borderId="1" xfId="0" applyFont="1" applyBorder="1" applyAlignment="1" applyProtection="1">
      <alignment horizontal="center" vertical="center" wrapText="1"/>
      <protection locked="0"/>
    </xf>
    <xf numFmtId="0" fontId="42" fillId="0" borderId="18" xfId="0" applyFont="1" applyBorder="1" applyAlignment="1" applyProtection="1">
      <alignment horizontal="center" vertical="center" wrapText="1"/>
      <protection locked="0"/>
    </xf>
    <xf numFmtId="0" fontId="42" fillId="0" borderId="31" xfId="0" applyFont="1" applyBorder="1" applyAlignment="1" applyProtection="1">
      <alignment horizontal="center" vertical="center" wrapText="1"/>
      <protection locked="0"/>
    </xf>
    <xf numFmtId="0" fontId="42" fillId="0" borderId="30" xfId="0" applyFont="1" applyBorder="1" applyAlignment="1" applyProtection="1">
      <alignment horizontal="center" vertical="center" wrapText="1"/>
      <protection locked="0"/>
    </xf>
    <xf numFmtId="0" fontId="42" fillId="0" borderId="20" xfId="0" applyFont="1" applyBorder="1" applyAlignment="1" applyProtection="1">
      <alignment horizontal="center" vertical="center" wrapText="1"/>
      <protection locked="0"/>
    </xf>
    <xf numFmtId="0" fontId="42" fillId="0" borderId="7" xfId="0" applyFont="1" applyBorder="1" applyAlignment="1" applyProtection="1">
      <alignment vertical="center" wrapText="1"/>
      <protection locked="0"/>
    </xf>
    <xf numFmtId="0" fontId="42" fillId="0" borderId="34" xfId="0" applyFont="1" applyBorder="1" applyAlignment="1" applyProtection="1">
      <alignment vertical="center" wrapText="1"/>
      <protection locked="0"/>
    </xf>
    <xf numFmtId="0" fontId="42" fillId="0" borderId="45" xfId="0" applyFont="1" applyBorder="1" applyAlignment="1" applyProtection="1">
      <alignment vertical="center" wrapText="1"/>
      <protection locked="0"/>
    </xf>
    <xf numFmtId="0" fontId="42" fillId="0" borderId="3" xfId="0" applyFont="1" applyBorder="1" applyAlignment="1" applyProtection="1">
      <alignment vertical="center" wrapText="1"/>
      <protection locked="0"/>
    </xf>
    <xf numFmtId="0" fontId="42" fillId="0" borderId="9" xfId="0" applyFont="1" applyBorder="1" applyAlignment="1" applyProtection="1">
      <alignment vertical="center" wrapText="1"/>
      <protection locked="0"/>
    </xf>
    <xf numFmtId="0" fontId="42" fillId="0" borderId="42" xfId="0" applyFont="1" applyBorder="1" applyAlignment="1" applyProtection="1">
      <alignment vertical="center" wrapText="1"/>
      <protection locked="0"/>
    </xf>
    <xf numFmtId="0" fontId="62" fillId="0" borderId="6" xfId="0" applyFont="1" applyBorder="1" applyAlignment="1" applyProtection="1">
      <alignment horizontal="center" vertical="center" wrapText="1"/>
      <protection locked="0"/>
    </xf>
    <xf numFmtId="0" fontId="62" fillId="0" borderId="1" xfId="0" applyFont="1" applyBorder="1" applyAlignment="1" applyProtection="1">
      <alignment horizontal="center" vertical="center" wrapText="1"/>
      <protection locked="0"/>
    </xf>
    <xf numFmtId="0" fontId="62" fillId="0" borderId="30" xfId="0" applyFont="1" applyBorder="1" applyAlignment="1" applyProtection="1">
      <alignment horizontal="center" vertical="center" wrapText="1"/>
      <protection locked="0"/>
    </xf>
    <xf numFmtId="0" fontId="21" fillId="0" borderId="0" xfId="0" applyFont="1" applyAlignment="1">
      <alignment wrapText="1"/>
    </xf>
    <xf numFmtId="0" fontId="42" fillId="0" borderId="3" xfId="0" applyFont="1" applyBorder="1" applyAlignment="1" applyProtection="1">
      <alignment horizontal="left" wrapText="1"/>
      <protection locked="0"/>
    </xf>
    <xf numFmtId="0" fontId="42" fillId="0" borderId="9" xfId="0" applyFont="1" applyBorder="1" applyAlignment="1" applyProtection="1">
      <alignment horizontal="left" wrapText="1"/>
      <protection locked="0"/>
    </xf>
    <xf numFmtId="0" fontId="42" fillId="0" borderId="42" xfId="0" applyFont="1" applyBorder="1" applyAlignment="1" applyProtection="1">
      <alignment horizontal="left" wrapText="1"/>
      <protection locked="0"/>
    </xf>
    <xf numFmtId="0" fontId="28" fillId="0" borderId="31" xfId="0" applyFont="1" applyBorder="1" applyAlignment="1" applyProtection="1">
      <alignment horizontal="center" vertical="center" wrapText="1"/>
      <protection locked="0"/>
    </xf>
    <xf numFmtId="0" fontId="42" fillId="0" borderId="35" xfId="0" applyFont="1" applyBorder="1" applyAlignment="1" applyProtection="1">
      <alignment horizontal="left" wrapText="1"/>
      <protection locked="0"/>
    </xf>
    <xf numFmtId="0" fontId="42" fillId="0" borderId="31" xfId="0" applyFont="1" applyBorder="1" applyAlignment="1" applyProtection="1">
      <alignment horizontal="left" wrapText="1"/>
      <protection locked="0"/>
    </xf>
    <xf numFmtId="0" fontId="42" fillId="0" borderId="47" xfId="0" applyFont="1" applyBorder="1" applyAlignment="1" applyProtection="1">
      <alignment horizontal="left" wrapText="1"/>
      <protection locked="0"/>
    </xf>
    <xf numFmtId="0" fontId="28" fillId="0" borderId="32" xfId="0" applyFont="1" applyBorder="1" applyAlignment="1" applyProtection="1">
      <alignment horizontal="center" vertical="center" wrapText="1"/>
      <protection locked="0"/>
    </xf>
    <xf numFmtId="0" fontId="28" fillId="0" borderId="60" xfId="0" applyFont="1" applyBorder="1" applyAlignment="1" applyProtection="1">
      <alignment horizontal="center" vertical="center" wrapText="1"/>
      <protection locked="0"/>
    </xf>
    <xf numFmtId="0" fontId="28" fillId="0" borderId="7" xfId="0" applyFont="1" applyBorder="1" applyAlignment="1" applyProtection="1">
      <alignment horizontal="center" vertical="center"/>
      <protection locked="0"/>
    </xf>
    <xf numFmtId="0" fontId="42" fillId="0" borderId="24" xfId="8" applyFont="1" applyBorder="1" applyAlignment="1">
      <alignment horizontal="center" vertical="center" wrapText="1"/>
    </xf>
    <xf numFmtId="0" fontId="42" fillId="0" borderId="25" xfId="8" applyFont="1" applyBorder="1" applyAlignment="1">
      <alignment horizontal="center" vertical="center" wrapText="1"/>
    </xf>
    <xf numFmtId="0" fontId="42" fillId="0" borderId="26" xfId="8" applyFont="1" applyBorder="1" applyAlignment="1">
      <alignment horizontal="center" vertical="center" wrapText="1"/>
    </xf>
    <xf numFmtId="0" fontId="28" fillId="0" borderId="13" xfId="6" applyFont="1" applyBorder="1" applyAlignment="1" applyProtection="1">
      <alignment horizontal="left" vertical="center" wrapText="1"/>
      <protection locked="0"/>
    </xf>
    <xf numFmtId="0" fontId="28" fillId="0" borderId="8" xfId="6" applyFont="1" applyBorder="1" applyAlignment="1" applyProtection="1">
      <alignment horizontal="center" vertical="center" wrapText="1"/>
      <protection locked="0"/>
    </xf>
    <xf numFmtId="0" fontId="28" fillId="0" borderId="7" xfId="6" applyFont="1" applyBorder="1" applyAlignment="1" applyProtection="1">
      <alignment horizontal="center" vertical="center" wrapText="1"/>
      <protection locked="0"/>
    </xf>
    <xf numFmtId="9" fontId="28" fillId="0" borderId="34" xfId="6" applyNumberFormat="1" applyFont="1" applyBorder="1" applyAlignment="1" applyProtection="1">
      <alignment horizontal="center" vertical="center" wrapText="1"/>
      <protection locked="0"/>
    </xf>
    <xf numFmtId="9" fontId="28" fillId="0" borderId="17" xfId="6" applyNumberFormat="1" applyFont="1" applyBorder="1" applyAlignment="1" applyProtection="1">
      <alignment horizontal="center" vertical="center" wrapText="1"/>
      <protection locked="0"/>
    </xf>
    <xf numFmtId="0" fontId="28" fillId="0" borderId="34" xfId="6" applyFont="1" applyBorder="1" applyAlignment="1" applyProtection="1">
      <alignment horizontal="left" vertical="center" wrapText="1"/>
      <protection locked="0"/>
    </xf>
    <xf numFmtId="0" fontId="28" fillId="0" borderId="6" xfId="6" applyFont="1" applyBorder="1" applyAlignment="1" applyProtection="1">
      <alignment horizontal="center" vertical="center" wrapText="1"/>
      <protection locked="0"/>
    </xf>
    <xf numFmtId="2" fontId="28" fillId="0" borderId="24" xfId="6" applyNumberFormat="1" applyFont="1" applyBorder="1" applyAlignment="1" applyProtection="1">
      <alignment horizontal="center" vertical="center" wrapText="1"/>
      <protection locked="0"/>
    </xf>
    <xf numFmtId="9" fontId="42" fillId="0" borderId="65" xfId="6" applyNumberFormat="1" applyFont="1" applyBorder="1" applyAlignment="1" applyProtection="1">
      <alignment horizontal="center" vertical="center" wrapText="1"/>
      <protection locked="0"/>
    </xf>
    <xf numFmtId="0" fontId="28" fillId="0" borderId="29" xfId="6" applyFont="1" applyBorder="1" applyAlignment="1" applyProtection="1">
      <alignment horizontal="center" vertical="center" wrapText="1"/>
      <protection locked="0"/>
    </xf>
    <xf numFmtId="0" fontId="42" fillId="0" borderId="3" xfId="8" applyFont="1" applyBorder="1" applyAlignment="1">
      <alignment horizontal="center" vertical="center"/>
    </xf>
    <xf numFmtId="0" fontId="42" fillId="0" borderId="1" xfId="8" applyFont="1" applyBorder="1" applyAlignment="1">
      <alignment horizontal="center" vertical="center" wrapText="1"/>
    </xf>
    <xf numFmtId="0" fontId="42" fillId="0" borderId="18" xfId="8" applyFont="1" applyBorder="1" applyAlignment="1">
      <alignment horizontal="center" vertical="center"/>
    </xf>
    <xf numFmtId="0" fontId="28" fillId="0" borderId="28" xfId="6" applyFont="1" applyBorder="1" applyAlignment="1" applyProtection="1">
      <alignment horizontal="left" vertical="center" wrapText="1"/>
      <protection locked="0"/>
    </xf>
    <xf numFmtId="0" fontId="28" fillId="0" borderId="2" xfId="6" applyFont="1" applyBorder="1" applyAlignment="1" applyProtection="1">
      <alignment horizontal="center" vertical="center" wrapText="1"/>
      <protection locked="0"/>
    </xf>
    <xf numFmtId="0" fontId="28" fillId="0" borderId="3" xfId="6" applyFont="1" applyBorder="1" applyAlignment="1" applyProtection="1">
      <alignment horizontal="center" vertical="center" wrapText="1"/>
      <protection locked="0"/>
    </xf>
    <xf numFmtId="0" fontId="28" fillId="0" borderId="9" xfId="6" applyFont="1" applyBorder="1" applyAlignment="1" applyProtection="1">
      <alignment horizontal="center" vertical="center" wrapText="1"/>
      <protection locked="0"/>
    </xf>
    <xf numFmtId="0" fontId="28" fillId="0" borderId="18" xfId="6" applyFont="1" applyBorder="1" applyAlignment="1" applyProtection="1">
      <alignment horizontal="center" vertical="center" wrapText="1"/>
      <protection locked="0"/>
    </xf>
    <xf numFmtId="0" fontId="28" fillId="0" borderId="1" xfId="6" applyFont="1" applyBorder="1" applyAlignment="1" applyProtection="1">
      <alignment horizontal="center" vertical="center" wrapText="1"/>
      <protection locked="0"/>
    </xf>
    <xf numFmtId="2" fontId="28" fillId="0" borderId="3" xfId="6" applyNumberFormat="1" applyFont="1" applyBorder="1" applyAlignment="1" applyProtection="1">
      <alignment horizontal="center" vertical="center" wrapText="1"/>
      <protection locked="0"/>
    </xf>
    <xf numFmtId="9" fontId="42" fillId="0" borderId="42" xfId="6" applyNumberFormat="1" applyFont="1" applyBorder="1" applyAlignment="1" applyProtection="1">
      <alignment horizontal="center" vertical="center" wrapText="1"/>
      <protection locked="0"/>
    </xf>
    <xf numFmtId="0" fontId="28" fillId="0" borderId="29" xfId="6" applyFont="1" applyBorder="1" applyAlignment="1" applyProtection="1">
      <alignment horizontal="center" vertical="center"/>
      <protection locked="0"/>
    </xf>
    <xf numFmtId="0" fontId="28" fillId="0" borderId="9" xfId="6" applyFont="1" applyBorder="1" applyAlignment="1" applyProtection="1">
      <alignment horizontal="left" vertical="center" wrapText="1"/>
      <protection locked="0"/>
    </xf>
    <xf numFmtId="0" fontId="28" fillId="0" borderId="9" xfId="6" applyFont="1" applyBorder="1" applyAlignment="1" applyProtection="1">
      <alignment horizontal="center" vertical="center"/>
      <protection locked="0"/>
    </xf>
    <xf numFmtId="0" fontId="28" fillId="0" borderId="18" xfId="6" applyFont="1" applyBorder="1" applyAlignment="1" applyProtection="1">
      <alignment horizontal="center" vertical="center"/>
      <protection locked="0"/>
    </xf>
    <xf numFmtId="0" fontId="28" fillId="0" borderId="2" xfId="6" applyFont="1" applyBorder="1" applyAlignment="1" applyProtection="1">
      <alignment horizontal="center" vertical="center"/>
      <protection locked="0"/>
    </xf>
    <xf numFmtId="0" fontId="28" fillId="0" borderId="1" xfId="6" applyFont="1" applyBorder="1" applyAlignment="1" applyProtection="1">
      <alignment horizontal="center" vertical="center"/>
      <protection locked="0"/>
    </xf>
    <xf numFmtId="2" fontId="28" fillId="0" borderId="3" xfId="6" applyNumberFormat="1" applyFont="1" applyBorder="1" applyAlignment="1" applyProtection="1">
      <alignment horizontal="center" vertical="center"/>
      <protection locked="0"/>
    </xf>
    <xf numFmtId="0" fontId="42" fillId="0" borderId="42" xfId="6" applyFont="1" applyBorder="1" applyAlignment="1" applyProtection="1">
      <alignment horizontal="center" vertical="center"/>
      <protection locked="0"/>
    </xf>
    <xf numFmtId="0" fontId="4" fillId="0" borderId="42" xfId="6" applyFont="1" applyBorder="1" applyAlignment="1" applyProtection="1">
      <alignment horizontal="center" vertical="center"/>
      <protection locked="0"/>
    </xf>
    <xf numFmtId="0" fontId="42" fillId="0" borderId="42" xfId="8" applyFont="1" applyBorder="1" applyAlignment="1" applyProtection="1">
      <alignment horizontal="center" vertical="center" wrapText="1"/>
      <protection locked="0"/>
    </xf>
    <xf numFmtId="0" fontId="42" fillId="0" borderId="35" xfId="8" applyFont="1" applyBorder="1" applyAlignment="1">
      <alignment horizontal="center" vertical="center"/>
    </xf>
    <xf numFmtId="0" fontId="42" fillId="0" borderId="30" xfId="8" applyFont="1" applyBorder="1" applyAlignment="1">
      <alignment horizontal="center" vertical="center" wrapText="1"/>
    </xf>
    <xf numFmtId="0" fontId="42" fillId="0" borderId="20" xfId="8" applyFont="1" applyBorder="1" applyAlignment="1">
      <alignment horizontal="center" vertical="center"/>
    </xf>
    <xf numFmtId="0" fontId="28" fillId="0" borderId="61" xfId="6" applyFont="1" applyBorder="1" applyAlignment="1" applyProtection="1">
      <alignment horizontal="left" vertical="center" wrapText="1"/>
      <protection locked="0"/>
    </xf>
    <xf numFmtId="0" fontId="28" fillId="0" borderId="32" xfId="6" applyFont="1" applyBorder="1" applyAlignment="1" applyProtection="1">
      <alignment horizontal="center" vertical="center" wrapText="1"/>
      <protection locked="0"/>
    </xf>
    <xf numFmtId="0" fontId="28" fillId="0" borderId="35" xfId="6" applyFont="1" applyBorder="1" applyAlignment="1" applyProtection="1">
      <alignment horizontal="center" vertical="center" wrapText="1"/>
      <protection locked="0"/>
    </xf>
    <xf numFmtId="0" fontId="28" fillId="0" borderId="31" xfId="6" applyFont="1" applyBorder="1" applyAlignment="1" applyProtection="1">
      <alignment horizontal="center" vertical="center"/>
      <protection locked="0"/>
    </xf>
    <xf numFmtId="0" fontId="28" fillId="0" borderId="20" xfId="6" applyFont="1" applyBorder="1" applyAlignment="1" applyProtection="1">
      <alignment horizontal="center" vertical="center"/>
      <protection locked="0"/>
    </xf>
    <xf numFmtId="0" fontId="28" fillId="0" borderId="31" xfId="6" applyFont="1" applyBorder="1" applyAlignment="1" applyProtection="1">
      <alignment horizontal="left" vertical="center" wrapText="1"/>
      <protection locked="0"/>
    </xf>
    <xf numFmtId="0" fontId="28" fillId="0" borderId="32" xfId="6" applyFont="1" applyBorder="1" applyAlignment="1" applyProtection="1">
      <alignment horizontal="center" vertical="center"/>
      <protection locked="0"/>
    </xf>
    <xf numFmtId="0" fontId="28" fillId="0" borderId="30" xfId="6" applyFont="1" applyBorder="1" applyAlignment="1" applyProtection="1">
      <alignment horizontal="center" vertical="center"/>
      <protection locked="0"/>
    </xf>
    <xf numFmtId="2" fontId="28" fillId="0" borderId="35" xfId="6" applyNumberFormat="1" applyFont="1" applyBorder="1" applyAlignment="1" applyProtection="1">
      <alignment horizontal="center" vertical="center"/>
      <protection locked="0"/>
    </xf>
    <xf numFmtId="0" fontId="4" fillId="0" borderId="47" xfId="6" applyFont="1" applyBorder="1" applyAlignment="1" applyProtection="1">
      <alignment horizontal="center" vertical="center"/>
      <protection locked="0"/>
    </xf>
    <xf numFmtId="0" fontId="28" fillId="0" borderId="33" xfId="6" applyFont="1" applyBorder="1" applyAlignment="1" applyProtection="1">
      <alignment horizontal="center" vertical="center"/>
      <protection locked="0"/>
    </xf>
    <xf numFmtId="0" fontId="28" fillId="0" borderId="23" xfId="6" applyFont="1" applyBorder="1" applyAlignment="1" applyProtection="1">
      <alignment horizontal="left" vertical="center" wrapText="1"/>
      <protection locked="0"/>
    </xf>
    <xf numFmtId="0" fontId="28" fillId="0" borderId="7" xfId="6" applyFont="1" applyBorder="1" applyAlignment="1" applyProtection="1">
      <alignment horizontal="left" vertical="center" wrapText="1"/>
      <protection locked="0"/>
    </xf>
    <xf numFmtId="0" fontId="28" fillId="0" borderId="6" xfId="6" applyFont="1" applyBorder="1" applyAlignment="1" applyProtection="1">
      <alignment horizontal="left" vertical="center" wrapText="1"/>
      <protection locked="0"/>
    </xf>
    <xf numFmtId="0" fontId="28" fillId="0" borderId="17" xfId="6" applyFont="1" applyBorder="1" applyAlignment="1" applyProtection="1">
      <alignment horizontal="left" vertical="center" wrapText="1"/>
      <protection locked="0"/>
    </xf>
    <xf numFmtId="0" fontId="28" fillId="0" borderId="46" xfId="6" applyFont="1" applyBorder="1" applyAlignment="1" applyProtection="1">
      <alignment horizontal="center" vertical="center" wrapText="1"/>
      <protection locked="0"/>
    </xf>
    <xf numFmtId="0" fontId="28" fillId="0" borderId="23" xfId="6" applyFont="1" applyBorder="1" applyAlignment="1" applyProtection="1">
      <alignment horizontal="center" vertical="center" wrapText="1"/>
      <protection locked="0"/>
    </xf>
    <xf numFmtId="0" fontId="28" fillId="0" borderId="34" xfId="6" applyFont="1" applyBorder="1" applyAlignment="1" applyProtection="1">
      <alignment horizontal="center" vertical="center" wrapText="1"/>
      <protection locked="0"/>
    </xf>
    <xf numFmtId="0" fontId="28" fillId="0" borderId="17" xfId="6" applyFont="1" applyBorder="1" applyAlignment="1" applyProtection="1">
      <alignment horizontal="center" vertical="center" wrapText="1"/>
      <protection locked="0"/>
    </xf>
    <xf numFmtId="0" fontId="28" fillId="0" borderId="29" xfId="6" applyFont="1" applyBorder="1" applyAlignment="1" applyProtection="1">
      <alignment horizontal="left" vertical="center" wrapText="1"/>
      <protection locked="0"/>
    </xf>
    <xf numFmtId="0" fontId="28" fillId="0" borderId="3" xfId="6" applyFont="1" applyBorder="1" applyAlignment="1" applyProtection="1">
      <alignment horizontal="left" vertical="center" wrapText="1"/>
      <protection locked="0"/>
    </xf>
    <xf numFmtId="0" fontId="28" fillId="0" borderId="1" xfId="6" applyFont="1" applyBorder="1" applyAlignment="1" applyProtection="1">
      <alignment horizontal="left" vertical="center" wrapText="1"/>
      <protection locked="0"/>
    </xf>
    <xf numFmtId="0" fontId="28" fillId="0" borderId="18" xfId="6" applyFont="1" applyBorder="1" applyAlignment="1" applyProtection="1">
      <alignment horizontal="left" vertical="center" wrapText="1"/>
      <protection locked="0"/>
    </xf>
    <xf numFmtId="0" fontId="28" fillId="0" borderId="43" xfId="6" applyFont="1" applyBorder="1" applyAlignment="1" applyProtection="1">
      <alignment horizontal="center" vertical="center" wrapText="1"/>
      <protection locked="0"/>
    </xf>
    <xf numFmtId="0" fontId="28" fillId="0" borderId="44" xfId="6" applyFont="1" applyBorder="1" applyAlignment="1" applyProtection="1">
      <alignment horizontal="left" vertical="center" wrapText="1"/>
      <protection locked="0"/>
    </xf>
    <xf numFmtId="0" fontId="28" fillId="0" borderId="4" xfId="6" applyFont="1" applyBorder="1" applyAlignment="1" applyProtection="1">
      <alignment horizontal="center" vertical="center" wrapText="1"/>
      <protection locked="0"/>
    </xf>
    <xf numFmtId="0" fontId="28" fillId="0" borderId="40" xfId="6" applyFont="1" applyBorder="1" applyAlignment="1" applyProtection="1">
      <alignment horizontal="left" vertical="center" wrapText="1"/>
      <protection locked="0"/>
    </xf>
    <xf numFmtId="0" fontId="28" fillId="0" borderId="33" xfId="6" applyFont="1" applyBorder="1" applyAlignment="1" applyProtection="1">
      <alignment horizontal="left" vertical="center" wrapText="1"/>
      <protection locked="0"/>
    </xf>
    <xf numFmtId="0" fontId="28" fillId="0" borderId="35" xfId="6" applyFont="1" applyBorder="1" applyAlignment="1" applyProtection="1">
      <alignment horizontal="left" vertical="center" wrapText="1"/>
      <protection locked="0"/>
    </xf>
    <xf numFmtId="0" fontId="28" fillId="0" borderId="30" xfId="6" applyFont="1" applyBorder="1" applyAlignment="1" applyProtection="1">
      <alignment horizontal="left" vertical="center" wrapText="1"/>
      <protection locked="0"/>
    </xf>
    <xf numFmtId="0" fontId="28" fillId="0" borderId="20" xfId="6" applyFont="1" applyBorder="1" applyAlignment="1" applyProtection="1">
      <alignment horizontal="left" vertical="center" wrapText="1"/>
      <protection locked="0"/>
    </xf>
    <xf numFmtId="0" fontId="28" fillId="0" borderId="60" xfId="6" applyFont="1" applyBorder="1" applyAlignment="1" applyProtection="1">
      <alignment horizontal="center" vertical="center" wrapText="1"/>
      <protection locked="0"/>
    </xf>
    <xf numFmtId="0" fontId="28" fillId="0" borderId="33" xfId="6" applyFont="1" applyBorder="1" applyAlignment="1" applyProtection="1">
      <alignment horizontal="center" vertical="center" wrapText="1"/>
      <protection locked="0"/>
    </xf>
    <xf numFmtId="0" fontId="28" fillId="0" borderId="31" xfId="6" applyFont="1" applyBorder="1" applyAlignment="1" applyProtection="1">
      <alignment horizontal="center" vertical="center" wrapText="1"/>
      <protection locked="0"/>
    </xf>
    <xf numFmtId="0" fontId="28" fillId="0" borderId="20" xfId="6" applyFont="1" applyBorder="1" applyAlignment="1" applyProtection="1">
      <alignment horizontal="center" vertical="center" wrapText="1"/>
      <protection locked="0"/>
    </xf>
    <xf numFmtId="0" fontId="21" fillId="0" borderId="1" xfId="0" applyFont="1" applyBorder="1" applyAlignment="1">
      <alignment horizontal="center" vertical="center"/>
    </xf>
    <xf numFmtId="0" fontId="25" fillId="3" borderId="4" xfId="0" applyFont="1" applyFill="1" applyBorder="1" applyAlignment="1">
      <alignment horizontal="center" vertical="center" wrapText="1"/>
    </xf>
    <xf numFmtId="0" fontId="21" fillId="0" borderId="3" xfId="0" applyFont="1" applyBorder="1" applyAlignment="1" applyProtection="1">
      <alignment horizontal="center" vertical="center"/>
      <protection locked="0"/>
    </xf>
    <xf numFmtId="0" fontId="18" fillId="10" borderId="37" xfId="3" applyFont="1" applyFill="1" applyBorder="1" applyAlignment="1">
      <alignment horizontal="center" vertical="center" wrapText="1"/>
    </xf>
    <xf numFmtId="9" fontId="21" fillId="0" borderId="29" xfId="0" applyNumberFormat="1" applyFont="1" applyBorder="1" applyAlignment="1" applyProtection="1">
      <alignment horizontal="center" vertical="center" wrapText="1"/>
      <protection locked="0"/>
    </xf>
    <xf numFmtId="0" fontId="25" fillId="3" borderId="10" xfId="0" applyFont="1" applyFill="1" applyBorder="1" applyAlignment="1">
      <alignment horizontal="center" vertical="center" wrapText="1"/>
    </xf>
    <xf numFmtId="0" fontId="21" fillId="0" borderId="30" xfId="0" applyFont="1" applyBorder="1" applyAlignment="1">
      <alignment horizontal="center" vertical="center"/>
    </xf>
    <xf numFmtId="0" fontId="42" fillId="0" borderId="7" xfId="8" applyFont="1" applyBorder="1" applyAlignment="1">
      <alignment horizontal="center" vertical="center" wrapText="1"/>
    </xf>
    <xf numFmtId="0" fontId="42" fillId="0" borderId="6" xfId="8" applyFont="1" applyBorder="1" applyAlignment="1">
      <alignment horizontal="center" vertical="center" wrapText="1"/>
    </xf>
    <xf numFmtId="9" fontId="28" fillId="0" borderId="6" xfId="0" applyNumberFormat="1" applyFont="1" applyBorder="1" applyAlignment="1" applyProtection="1">
      <alignment horizontal="center" vertical="center" wrapText="1"/>
      <protection locked="0"/>
    </xf>
    <xf numFmtId="0" fontId="28" fillId="0" borderId="17"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18" xfId="0" applyFont="1" applyBorder="1" applyAlignment="1">
      <alignment horizontal="center" vertical="center"/>
    </xf>
    <xf numFmtId="0" fontId="21" fillId="0" borderId="20" xfId="0" applyFont="1" applyBorder="1" applyAlignment="1">
      <alignment horizontal="center" vertical="center"/>
    </xf>
    <xf numFmtId="0" fontId="21" fillId="0" borderId="3" xfId="0" applyFont="1" applyBorder="1" applyProtection="1">
      <protection locked="0"/>
    </xf>
    <xf numFmtId="0" fontId="21" fillId="0" borderId="1" xfId="0" applyFont="1" applyBorder="1" applyProtection="1">
      <protection locked="0"/>
    </xf>
    <xf numFmtId="0" fontId="21" fillId="0" borderId="18" xfId="0" applyFont="1" applyBorder="1" applyProtection="1">
      <protection locked="0"/>
    </xf>
    <xf numFmtId="0" fontId="21" fillId="0" borderId="29" xfId="0" applyFont="1" applyBorder="1" applyProtection="1">
      <protection locked="0"/>
    </xf>
    <xf numFmtId="0" fontId="21" fillId="0" borderId="35" xfId="0" applyFont="1" applyBorder="1" applyProtection="1">
      <protection locked="0"/>
    </xf>
    <xf numFmtId="0" fontId="21" fillId="0" borderId="30" xfId="0" applyFont="1" applyBorder="1" applyProtection="1">
      <protection locked="0"/>
    </xf>
    <xf numFmtId="0" fontId="21" fillId="0" borderId="20" xfId="0" applyFont="1" applyBorder="1" applyProtection="1">
      <protection locked="0"/>
    </xf>
    <xf numFmtId="0" fontId="21" fillId="0" borderId="33" xfId="0" applyFont="1" applyBorder="1" applyProtection="1">
      <protection locked="0"/>
    </xf>
    <xf numFmtId="0" fontId="42" fillId="0" borderId="49" xfId="0" applyFont="1" applyBorder="1" applyAlignment="1" applyProtection="1">
      <alignment horizontal="center" vertical="center" wrapText="1"/>
      <protection locked="0"/>
    </xf>
    <xf numFmtId="0" fontId="42" fillId="0" borderId="58" xfId="0" applyFont="1" applyBorder="1" applyAlignment="1" applyProtection="1">
      <alignment horizontal="center" vertical="center" wrapText="1"/>
      <protection locked="0"/>
    </xf>
    <xf numFmtId="0" fontId="28" fillId="13" borderId="2" xfId="6" applyFont="1" applyFill="1" applyBorder="1" applyAlignment="1">
      <alignment horizontal="center" vertical="center" wrapText="1"/>
    </xf>
    <xf numFmtId="2" fontId="28" fillId="13" borderId="42" xfId="6" applyNumberFormat="1" applyFont="1" applyFill="1" applyBorder="1" applyAlignment="1">
      <alignment horizontal="center" vertical="center" wrapText="1"/>
    </xf>
    <xf numFmtId="0" fontId="42" fillId="0" borderId="48" xfId="0" applyFont="1" applyBorder="1" applyAlignment="1" applyProtection="1">
      <alignment horizontal="center" vertical="center" wrapText="1"/>
      <protection locked="0"/>
    </xf>
    <xf numFmtId="0" fontId="42" fillId="0" borderId="0" xfId="0" applyFont="1" applyAlignment="1" applyProtection="1">
      <alignment horizontal="center" vertical="center" wrapText="1"/>
      <protection locked="0"/>
    </xf>
    <xf numFmtId="0" fontId="42" fillId="0" borderId="62" xfId="0" applyFont="1" applyBorder="1" applyAlignment="1" applyProtection="1">
      <alignment horizontal="center" vertical="center" wrapText="1"/>
      <protection locked="0"/>
    </xf>
    <xf numFmtId="0" fontId="42" fillId="0" borderId="14" xfId="0" applyFont="1" applyBorder="1" applyAlignment="1" applyProtection="1">
      <alignment horizontal="center" vertical="center" wrapText="1"/>
      <protection locked="0"/>
    </xf>
    <xf numFmtId="0" fontId="26" fillId="3" borderId="77" xfId="0" applyFont="1" applyFill="1" applyBorder="1" applyAlignment="1" applyProtection="1">
      <alignment horizontal="center" vertical="center" wrapText="1"/>
      <protection locked="0"/>
    </xf>
    <xf numFmtId="0" fontId="42" fillId="0" borderId="17" xfId="8" applyFont="1" applyBorder="1" applyAlignment="1">
      <alignment horizontal="center" vertical="center" wrapText="1"/>
    </xf>
    <xf numFmtId="2" fontId="28" fillId="0" borderId="7" xfId="6" applyNumberFormat="1" applyFont="1" applyBorder="1" applyAlignment="1" applyProtection="1">
      <alignment horizontal="center" vertical="center" wrapText="1"/>
      <protection locked="0"/>
    </xf>
    <xf numFmtId="9" fontId="42" fillId="0" borderId="45" xfId="6" applyNumberFormat="1" applyFont="1" applyBorder="1" applyAlignment="1" applyProtection="1">
      <alignment horizontal="center" vertical="center" wrapText="1"/>
      <protection locked="0"/>
    </xf>
    <xf numFmtId="0" fontId="0" fillId="0" borderId="5" xfId="0" applyBorder="1" applyAlignment="1">
      <alignment vertical="center"/>
    </xf>
    <xf numFmtId="0" fontId="0" fillId="0" borderId="14" xfId="0" applyBorder="1" applyAlignment="1">
      <alignment vertical="center"/>
    </xf>
    <xf numFmtId="0" fontId="0" fillId="0" borderId="10" xfId="0" applyBorder="1" applyAlignment="1">
      <alignment vertical="center"/>
    </xf>
    <xf numFmtId="0" fontId="0" fillId="0" borderId="11" xfId="0" applyBorder="1" applyAlignment="1">
      <alignment vertical="center"/>
    </xf>
    <xf numFmtId="0" fontId="12" fillId="9" borderId="0" xfId="0" applyFont="1" applyFill="1" applyAlignment="1">
      <alignment horizontal="center" vertical="center" wrapText="1"/>
    </xf>
    <xf numFmtId="0" fontId="0" fillId="0" borderId="12" xfId="0" applyBorder="1" applyAlignment="1">
      <alignment vertical="center"/>
    </xf>
    <xf numFmtId="0" fontId="0" fillId="0" borderId="38" xfId="0" applyBorder="1" applyAlignment="1">
      <alignment vertical="center"/>
    </xf>
    <xf numFmtId="0" fontId="0" fillId="9" borderId="21" xfId="0" applyFill="1" applyBorder="1" applyAlignment="1">
      <alignment vertical="center"/>
    </xf>
    <xf numFmtId="0" fontId="0" fillId="0" borderId="39" xfId="0" applyBorder="1" applyAlignment="1">
      <alignment vertical="center"/>
    </xf>
    <xf numFmtId="9" fontId="28" fillId="0" borderId="43" xfId="0" applyNumberFormat="1" applyFont="1" applyBorder="1" applyAlignment="1" applyProtection="1">
      <alignment horizontal="center" vertical="center" wrapText="1"/>
      <protection locked="0"/>
    </xf>
    <xf numFmtId="9" fontId="28" fillId="0" borderId="60" xfId="0" applyNumberFormat="1" applyFont="1" applyBorder="1" applyAlignment="1" applyProtection="1">
      <alignment horizontal="center" vertical="center" wrapText="1"/>
      <protection locked="0"/>
    </xf>
    <xf numFmtId="0" fontId="21" fillId="0" borderId="43" xfId="0" applyFont="1" applyBorder="1" applyAlignment="1" applyProtection="1">
      <alignment horizontal="center" vertical="center" wrapText="1"/>
      <protection locked="0"/>
    </xf>
    <xf numFmtId="0" fontId="67" fillId="3" borderId="39" xfId="0" applyFont="1" applyFill="1" applyBorder="1" applyAlignment="1">
      <alignment horizontal="center" vertical="center" wrapText="1"/>
    </xf>
    <xf numFmtId="9" fontId="28" fillId="0" borderId="1" xfId="0" applyNumberFormat="1" applyFont="1" applyBorder="1" applyAlignment="1" applyProtection="1">
      <alignment horizontal="center" vertical="center" wrapText="1"/>
      <protection locked="0"/>
    </xf>
    <xf numFmtId="9" fontId="28" fillId="0" borderId="30" xfId="0" applyNumberFormat="1" applyFont="1" applyBorder="1" applyAlignment="1" applyProtection="1">
      <alignment horizontal="center" vertical="center" wrapText="1"/>
      <protection locked="0"/>
    </xf>
    <xf numFmtId="0" fontId="18" fillId="3" borderId="5" xfId="0" applyFont="1" applyFill="1" applyBorder="1" applyAlignment="1">
      <alignment horizontal="center" vertical="center" wrapText="1"/>
    </xf>
    <xf numFmtId="0" fontId="45" fillId="3" borderId="51" xfId="0" applyFont="1" applyFill="1" applyBorder="1" applyAlignment="1">
      <alignment horizontal="center" vertical="center" wrapText="1"/>
    </xf>
    <xf numFmtId="0" fontId="18" fillId="3" borderId="10" xfId="0" applyFont="1" applyFill="1" applyBorder="1" applyAlignment="1">
      <alignment horizontal="center" vertical="center" wrapText="1"/>
    </xf>
    <xf numFmtId="0" fontId="67" fillId="3" borderId="19" xfId="0" applyFont="1" applyFill="1" applyBorder="1" applyAlignment="1">
      <alignment horizontal="center" vertical="center" wrapText="1"/>
    </xf>
    <xf numFmtId="0" fontId="67" fillId="3" borderId="53" xfId="0" applyFont="1" applyFill="1" applyBorder="1" applyAlignment="1">
      <alignment horizontal="center" vertical="center" wrapText="1"/>
    </xf>
    <xf numFmtId="9" fontId="28" fillId="0" borderId="85" xfId="0" applyNumberFormat="1" applyFont="1" applyBorder="1" applyAlignment="1" applyProtection="1">
      <alignment horizontal="center" vertical="center" wrapText="1"/>
      <protection locked="0"/>
    </xf>
    <xf numFmtId="9" fontId="28" fillId="0" borderId="65" xfId="0" applyNumberFormat="1" applyFont="1" applyBorder="1" applyAlignment="1" applyProtection="1">
      <alignment horizontal="center" vertical="center" wrapText="1"/>
      <protection locked="0"/>
    </xf>
    <xf numFmtId="0" fontId="28" fillId="0" borderId="42" xfId="0" applyFont="1" applyBorder="1" applyAlignment="1" applyProtection="1">
      <alignment horizontal="center" vertical="center" wrapText="1"/>
      <protection locked="0"/>
    </xf>
    <xf numFmtId="0" fontId="21" fillId="0" borderId="42" xfId="0" applyFont="1" applyBorder="1" applyAlignment="1" applyProtection="1">
      <alignment horizontal="center" vertical="center" wrapText="1"/>
      <protection locked="0"/>
    </xf>
    <xf numFmtId="9" fontId="28" fillId="0" borderId="42" xfId="0" applyNumberFormat="1" applyFont="1" applyBorder="1" applyAlignment="1" applyProtection="1">
      <alignment horizontal="center" vertical="center" wrapText="1"/>
      <protection locked="0"/>
    </xf>
    <xf numFmtId="9" fontId="28" fillId="0" borderId="47" xfId="0" applyNumberFormat="1" applyFont="1" applyBorder="1" applyAlignment="1" applyProtection="1">
      <alignment horizontal="center" vertical="center" wrapText="1"/>
      <protection locked="0"/>
    </xf>
    <xf numFmtId="0" fontId="19" fillId="3" borderId="49" xfId="0" applyFont="1" applyFill="1" applyBorder="1" applyAlignment="1">
      <alignment horizontal="center" vertical="center" wrapText="1"/>
    </xf>
    <xf numFmtId="0" fontId="42" fillId="0" borderId="6" xfId="0" applyFont="1" applyBorder="1" applyAlignment="1" applyProtection="1">
      <alignment horizontal="center" vertical="center" wrapText="1"/>
      <protection locked="0"/>
    </xf>
    <xf numFmtId="9" fontId="28" fillId="0" borderId="86" xfId="0" applyNumberFormat="1" applyFont="1" applyBorder="1" applyAlignment="1" applyProtection="1">
      <alignment horizontal="center" vertical="center" wrapText="1"/>
      <protection locked="0"/>
    </xf>
    <xf numFmtId="9" fontId="28" fillId="0" borderId="87" xfId="0" applyNumberFormat="1" applyFont="1" applyBorder="1" applyAlignment="1" applyProtection="1">
      <alignment horizontal="center" vertical="center" wrapText="1"/>
      <protection locked="0"/>
    </xf>
    <xf numFmtId="0" fontId="28" fillId="0" borderId="87" xfId="0" applyFont="1" applyBorder="1" applyAlignment="1" applyProtection="1">
      <alignment horizontal="center" vertical="center" wrapText="1"/>
      <protection locked="0"/>
    </xf>
    <xf numFmtId="9" fontId="28" fillId="0" borderId="88" xfId="0" applyNumberFormat="1" applyFont="1" applyBorder="1" applyAlignment="1" applyProtection="1">
      <alignment horizontal="center" vertical="center" wrapText="1"/>
      <protection locked="0"/>
    </xf>
    <xf numFmtId="0" fontId="28" fillId="0" borderId="89" xfId="0" applyFont="1" applyBorder="1" applyAlignment="1" applyProtection="1">
      <alignment horizontal="center" vertical="center" wrapText="1"/>
      <protection locked="0"/>
    </xf>
    <xf numFmtId="0" fontId="42" fillId="0" borderId="53" xfId="0" applyFont="1" applyBorder="1" applyAlignment="1" applyProtection="1">
      <alignment horizontal="center" vertical="center" wrapText="1"/>
      <protection locked="0"/>
    </xf>
    <xf numFmtId="0" fontId="19" fillId="3" borderId="58" xfId="0" applyFont="1" applyFill="1" applyBorder="1" applyAlignment="1">
      <alignment horizontal="center" vertical="center" wrapText="1"/>
    </xf>
    <xf numFmtId="0" fontId="67" fillId="3" borderId="56" xfId="0" applyFont="1" applyFill="1" applyBorder="1" applyAlignment="1">
      <alignment horizontal="center" vertical="center" wrapText="1"/>
    </xf>
    <xf numFmtId="0" fontId="42" fillId="0" borderId="25" xfId="0" applyFont="1" applyBorder="1" applyAlignment="1" applyProtection="1">
      <alignment horizontal="center" vertical="center" wrapText="1"/>
      <protection locked="0"/>
    </xf>
    <xf numFmtId="0" fontId="29" fillId="3" borderId="23" xfId="6" applyFont="1" applyFill="1" applyBorder="1" applyAlignment="1">
      <alignment horizontal="center" vertical="center" wrapText="1"/>
    </xf>
    <xf numFmtId="0" fontId="21" fillId="0" borderId="0" xfId="0" applyFont="1" applyAlignment="1" applyProtection="1">
      <alignment wrapText="1"/>
      <protection locked="0"/>
    </xf>
    <xf numFmtId="0" fontId="42" fillId="0" borderId="3" xfId="0" applyFont="1" applyBorder="1" applyAlignment="1" applyProtection="1">
      <alignment horizontal="center" vertical="center" wrapText="1"/>
      <protection locked="0"/>
    </xf>
    <xf numFmtId="0" fontId="42" fillId="0" borderId="34" xfId="0" applyFont="1" applyBorder="1" applyAlignment="1" applyProtection="1">
      <alignment horizontal="center" vertical="center" wrapText="1"/>
      <protection locked="0"/>
    </xf>
    <xf numFmtId="0" fontId="42" fillId="0" borderId="45" xfId="0" applyFont="1" applyBorder="1" applyAlignment="1" applyProtection="1">
      <alignment horizontal="center" vertical="center" wrapText="1"/>
      <protection locked="0"/>
    </xf>
    <xf numFmtId="0" fontId="42" fillId="0" borderId="42" xfId="0" applyFont="1" applyBorder="1" applyAlignment="1" applyProtection="1">
      <alignment horizontal="center" vertical="center" wrapText="1"/>
      <protection locked="0"/>
    </xf>
    <xf numFmtId="10" fontId="42" fillId="0" borderId="9" xfId="0" applyNumberFormat="1" applyFont="1" applyBorder="1" applyAlignment="1" applyProtection="1">
      <alignment horizontal="center" vertical="center" wrapText="1"/>
      <protection locked="0"/>
    </xf>
    <xf numFmtId="0" fontId="54" fillId="0" borderId="0" xfId="9" applyFont="1" applyAlignment="1">
      <alignment horizontal="center" vertical="center" wrapText="1"/>
    </xf>
    <xf numFmtId="0" fontId="54" fillId="0" borderId="0" xfId="9" applyFont="1" applyAlignment="1">
      <alignment horizontal="center" vertical="center"/>
    </xf>
    <xf numFmtId="0" fontId="3" fillId="0" borderId="0" xfId="9" applyFont="1" applyAlignment="1">
      <alignment horizontal="left" vertical="center" wrapText="1"/>
    </xf>
    <xf numFmtId="0" fontId="3" fillId="6" borderId="0" xfId="9" applyFont="1" applyFill="1" applyAlignment="1">
      <alignment horizontal="center"/>
    </xf>
    <xf numFmtId="0" fontId="3" fillId="0" borderId="0" xfId="9" applyFont="1" applyAlignment="1">
      <alignment vertical="center" wrapText="1"/>
    </xf>
    <xf numFmtId="0" fontId="55" fillId="0" borderId="0" xfId="9" applyFont="1" applyAlignment="1">
      <alignment horizontal="left" vertical="top" wrapText="1"/>
    </xf>
    <xf numFmtId="0" fontId="58" fillId="0" borderId="0" xfId="9" applyFont="1"/>
    <xf numFmtId="0" fontId="3" fillId="0" borderId="0" xfId="4" applyFont="1" applyAlignment="1">
      <alignment horizontal="left" vertical="top" wrapText="1"/>
    </xf>
    <xf numFmtId="0" fontId="3" fillId="0" borderId="0" xfId="9" applyFont="1" applyAlignment="1">
      <alignment horizontal="left" vertical="top" wrapText="1"/>
    </xf>
    <xf numFmtId="0" fontId="3" fillId="16" borderId="78" xfId="4" applyFont="1" applyFill="1" applyBorder="1" applyAlignment="1">
      <alignment horizontal="center" vertical="center"/>
    </xf>
    <xf numFmtId="0" fontId="3" fillId="16" borderId="79" xfId="4" applyFont="1" applyFill="1" applyBorder="1" applyAlignment="1">
      <alignment horizontal="center" vertical="center"/>
    </xf>
    <xf numFmtId="0" fontId="3" fillId="16" borderId="80" xfId="4" applyFont="1" applyFill="1" applyBorder="1" applyAlignment="1">
      <alignment horizontal="center" vertical="center"/>
    </xf>
    <xf numFmtId="0" fontId="3" fillId="2" borderId="81" xfId="4" applyFont="1" applyFill="1" applyBorder="1" applyAlignment="1">
      <alignment horizontal="center" vertical="center"/>
    </xf>
    <xf numFmtId="0" fontId="3" fillId="2" borderId="82" xfId="4" applyFont="1" applyFill="1" applyBorder="1" applyAlignment="1">
      <alignment horizontal="center" vertical="center"/>
    </xf>
    <xf numFmtId="0" fontId="3" fillId="2" borderId="83" xfId="4" applyFont="1" applyFill="1" applyBorder="1" applyAlignment="1">
      <alignment horizontal="center" vertical="center"/>
    </xf>
    <xf numFmtId="0" fontId="1" fillId="0" borderId="0" xfId="4" quotePrefix="1" applyFont="1" applyAlignment="1">
      <alignment horizontal="left" vertical="center" wrapText="1"/>
    </xf>
    <xf numFmtId="0" fontId="3" fillId="0" borderId="0" xfId="4" quotePrefix="1" applyFont="1" applyAlignment="1">
      <alignment horizontal="left" vertical="center" wrapText="1"/>
    </xf>
    <xf numFmtId="0" fontId="53" fillId="0" borderId="13" xfId="9" applyFont="1" applyBorder="1" applyAlignment="1">
      <alignment horizontal="left" vertical="center" wrapText="1"/>
    </xf>
    <xf numFmtId="0" fontId="3" fillId="0" borderId="0" xfId="9" applyFont="1" applyAlignment="1">
      <alignment horizontal="left" vertical="center" wrapText="1" indent="1"/>
    </xf>
    <xf numFmtId="0" fontId="3" fillId="0" borderId="21" xfId="9" applyFont="1" applyBorder="1" applyAlignment="1">
      <alignment horizontal="left" wrapText="1"/>
    </xf>
    <xf numFmtId="0" fontId="3" fillId="0" borderId="21" xfId="9" applyFont="1" applyBorder="1" applyAlignment="1">
      <alignment wrapText="1"/>
    </xf>
    <xf numFmtId="0" fontId="41" fillId="0" borderId="21" xfId="9" applyFont="1" applyBorder="1" applyAlignment="1">
      <alignment horizontal="left" vertical="center" wrapText="1"/>
    </xf>
    <xf numFmtId="0" fontId="21" fillId="0" borderId="21" xfId="9" applyFont="1" applyBorder="1" applyAlignment="1">
      <alignment vertical="center"/>
    </xf>
    <xf numFmtId="0" fontId="41" fillId="0" borderId="21" xfId="9" applyFont="1" applyBorder="1" applyAlignment="1">
      <alignment horizontal="left" wrapText="1"/>
    </xf>
    <xf numFmtId="0" fontId="21" fillId="0" borderId="21" xfId="9" applyFont="1" applyBorder="1" applyAlignment="1">
      <alignment wrapText="1"/>
    </xf>
    <xf numFmtId="0" fontId="23" fillId="0" borderId="21" xfId="9" applyFont="1" applyBorder="1" applyAlignment="1">
      <alignment horizontal="left" wrapText="1"/>
    </xf>
    <xf numFmtId="0" fontId="21" fillId="0" borderId="0" xfId="9" applyFont="1"/>
    <xf numFmtId="0" fontId="27" fillId="3" borderId="5" xfId="0" applyFont="1" applyFill="1" applyBorder="1" applyAlignment="1">
      <alignment horizontal="center" vertical="center" wrapText="1"/>
    </xf>
    <xf numFmtId="0" fontId="27" fillId="3" borderId="14" xfId="0" applyFont="1" applyFill="1" applyBorder="1" applyAlignment="1">
      <alignment horizontal="center" vertical="center" wrapText="1"/>
    </xf>
    <xf numFmtId="0" fontId="25" fillId="10" borderId="15" xfId="3" applyFont="1" applyFill="1" applyBorder="1" applyAlignment="1">
      <alignment horizontal="center" vertical="center"/>
    </xf>
    <xf numFmtId="0" fontId="25" fillId="10" borderId="36" xfId="3" applyFont="1" applyFill="1" applyBorder="1" applyAlignment="1">
      <alignment horizontal="center" vertical="center"/>
    </xf>
    <xf numFmtId="0" fontId="25" fillId="10" borderId="16" xfId="3" applyFont="1" applyFill="1" applyBorder="1" applyAlignment="1">
      <alignment horizontal="center" vertical="center"/>
    </xf>
    <xf numFmtId="0" fontId="27" fillId="3" borderId="52" xfId="0" applyFont="1" applyFill="1" applyBorder="1" applyAlignment="1">
      <alignment horizontal="center" vertical="center" wrapText="1"/>
    </xf>
    <xf numFmtId="0" fontId="27" fillId="3" borderId="10" xfId="0" applyFont="1" applyFill="1" applyBorder="1" applyAlignment="1">
      <alignment horizontal="center" vertical="center" wrapText="1"/>
    </xf>
    <xf numFmtId="0" fontId="32" fillId="3" borderId="5" xfId="5" applyFont="1" applyFill="1" applyBorder="1" applyAlignment="1">
      <alignment horizontal="center" vertical="center" wrapText="1"/>
    </xf>
    <xf numFmtId="0" fontId="32" fillId="3" borderId="14" xfId="5" applyFont="1" applyFill="1" applyBorder="1" applyAlignment="1">
      <alignment horizontal="center" vertical="center" wrapText="1"/>
    </xf>
    <xf numFmtId="0" fontId="32" fillId="3" borderId="10" xfId="5" applyFont="1" applyFill="1" applyBorder="1" applyAlignment="1">
      <alignment horizontal="center" vertical="center" wrapText="1"/>
    </xf>
    <xf numFmtId="0" fontId="50" fillId="8" borderId="5" xfId="0" applyFont="1" applyFill="1" applyBorder="1" applyAlignment="1">
      <alignment horizontal="center" vertical="center" wrapText="1"/>
    </xf>
    <xf numFmtId="0" fontId="50" fillId="8" borderId="14" xfId="0" applyFont="1" applyFill="1" applyBorder="1" applyAlignment="1">
      <alignment horizontal="center" vertical="center" wrapText="1"/>
    </xf>
    <xf numFmtId="0" fontId="50" fillId="8" borderId="10" xfId="0" applyFont="1" applyFill="1" applyBorder="1" applyAlignment="1">
      <alignment horizontal="center" vertical="center" wrapText="1"/>
    </xf>
    <xf numFmtId="0" fontId="50" fillId="8" borderId="38" xfId="0" applyFont="1" applyFill="1" applyBorder="1" applyAlignment="1">
      <alignment horizontal="center" vertical="center" wrapText="1"/>
    </xf>
    <xf numFmtId="0" fontId="50" fillId="8" borderId="21" xfId="0" applyFont="1" applyFill="1" applyBorder="1" applyAlignment="1">
      <alignment horizontal="center" vertical="center" wrapText="1"/>
    </xf>
    <xf numFmtId="0" fontId="50" fillId="8" borderId="39" xfId="0" applyFont="1" applyFill="1" applyBorder="1" applyAlignment="1">
      <alignment horizontal="center" vertical="center" wrapText="1"/>
    </xf>
    <xf numFmtId="0" fontId="64" fillId="4" borderId="5" xfId="0" applyFont="1" applyFill="1" applyBorder="1" applyAlignment="1">
      <alignment horizontal="center" vertical="center" wrapText="1"/>
    </xf>
    <xf numFmtId="0" fontId="64" fillId="4" borderId="14" xfId="0" applyFont="1" applyFill="1" applyBorder="1" applyAlignment="1">
      <alignment horizontal="center" vertical="center" wrapText="1"/>
    </xf>
    <xf numFmtId="0" fontId="64" fillId="4" borderId="10" xfId="0" applyFont="1" applyFill="1" applyBorder="1" applyAlignment="1">
      <alignment horizontal="center" vertical="center" wrapText="1"/>
    </xf>
    <xf numFmtId="0" fontId="63" fillId="4" borderId="5" xfId="0" applyFont="1" applyFill="1" applyBorder="1" applyAlignment="1">
      <alignment horizontal="center" vertical="center" wrapText="1"/>
    </xf>
    <xf numFmtId="0" fontId="63" fillId="4" borderId="14" xfId="0" applyFont="1" applyFill="1" applyBorder="1" applyAlignment="1">
      <alignment horizontal="center" vertical="center" wrapText="1"/>
    </xf>
    <xf numFmtId="0" fontId="63" fillId="4" borderId="10" xfId="0" applyFont="1" applyFill="1" applyBorder="1" applyAlignment="1">
      <alignment horizontal="center" vertical="center" wrapText="1"/>
    </xf>
    <xf numFmtId="0" fontId="63" fillId="4" borderId="38" xfId="0" applyFont="1" applyFill="1" applyBorder="1" applyAlignment="1">
      <alignment horizontal="center" vertical="center" wrapText="1"/>
    </xf>
    <xf numFmtId="0" fontId="63" fillId="4" borderId="21" xfId="0" applyFont="1" applyFill="1" applyBorder="1" applyAlignment="1">
      <alignment horizontal="center" vertical="center" wrapText="1"/>
    </xf>
    <xf numFmtId="0" fontId="63" fillId="4" borderId="39" xfId="0" applyFont="1" applyFill="1" applyBorder="1" applyAlignment="1">
      <alignment horizontal="center" vertical="center" wrapText="1"/>
    </xf>
    <xf numFmtId="0" fontId="25" fillId="10" borderId="15" xfId="3" applyFont="1" applyFill="1" applyBorder="1" applyAlignment="1">
      <alignment horizontal="center" vertical="center" wrapText="1"/>
    </xf>
    <xf numFmtId="0" fontId="25" fillId="10" borderId="36" xfId="3" applyFont="1" applyFill="1" applyBorder="1" applyAlignment="1">
      <alignment horizontal="center" vertical="center" wrapText="1"/>
    </xf>
    <xf numFmtId="0" fontId="25" fillId="10" borderId="16" xfId="3" applyFont="1" applyFill="1" applyBorder="1" applyAlignment="1">
      <alignment horizontal="center" vertical="center" wrapText="1"/>
    </xf>
    <xf numFmtId="0" fontId="25" fillId="10" borderId="5" xfId="3" applyFont="1" applyFill="1" applyBorder="1" applyAlignment="1">
      <alignment horizontal="center" vertical="center"/>
    </xf>
    <xf numFmtId="0" fontId="25" fillId="10" borderId="14" xfId="3" applyFont="1" applyFill="1" applyBorder="1" applyAlignment="1">
      <alignment horizontal="center" vertical="center"/>
    </xf>
    <xf numFmtId="0" fontId="27" fillId="3" borderId="15" xfId="0" applyFont="1" applyFill="1" applyBorder="1" applyAlignment="1">
      <alignment horizontal="center" vertical="center" wrapText="1"/>
    </xf>
    <xf numFmtId="0" fontId="27" fillId="3" borderId="16" xfId="0" applyFont="1" applyFill="1" applyBorder="1" applyAlignment="1">
      <alignment horizontal="center" vertical="center" wrapText="1"/>
    </xf>
    <xf numFmtId="0" fontId="27" fillId="3" borderId="36" xfId="0" applyFont="1" applyFill="1" applyBorder="1" applyAlignment="1">
      <alignment horizontal="center" vertical="center" wrapText="1"/>
    </xf>
    <xf numFmtId="0" fontId="64" fillId="4" borderId="38" xfId="0" applyFont="1" applyFill="1" applyBorder="1" applyAlignment="1">
      <alignment horizontal="center" vertical="center" wrapText="1"/>
    </xf>
    <xf numFmtId="0" fontId="64" fillId="4" borderId="21" xfId="0" applyFont="1" applyFill="1" applyBorder="1" applyAlignment="1">
      <alignment horizontal="center" vertical="center" wrapText="1"/>
    </xf>
    <xf numFmtId="0" fontId="64" fillId="4" borderId="39" xfId="0" applyFont="1" applyFill="1" applyBorder="1" applyAlignment="1">
      <alignment horizontal="center" vertical="center" wrapText="1"/>
    </xf>
    <xf numFmtId="0" fontId="44" fillId="4" borderId="15" xfId="6" applyFont="1" applyFill="1" applyBorder="1" applyAlignment="1">
      <alignment horizontal="center" vertical="center" wrapText="1"/>
    </xf>
    <xf numFmtId="0" fontId="44" fillId="4" borderId="16" xfId="6" applyFont="1" applyFill="1" applyBorder="1" applyAlignment="1">
      <alignment horizontal="center" vertical="center" wrapText="1"/>
    </xf>
    <xf numFmtId="0" fontId="46" fillId="0" borderId="0" xfId="6" applyFont="1" applyAlignment="1">
      <alignment wrapText="1"/>
    </xf>
    <xf numFmtId="0" fontId="34" fillId="8" borderId="22" xfId="6" applyFont="1" applyFill="1" applyBorder="1" applyAlignment="1">
      <alignment horizontal="center" vertical="center" wrapText="1"/>
    </xf>
    <xf numFmtId="0" fontId="34" fillId="8" borderId="57" xfId="6" applyFont="1" applyFill="1" applyBorder="1" applyAlignment="1">
      <alignment horizontal="center" vertical="center" wrapText="1"/>
    </xf>
    <xf numFmtId="0" fontId="19" fillId="10" borderId="5" xfId="8" applyFont="1" applyFill="1" applyBorder="1" applyAlignment="1">
      <alignment horizontal="left" vertical="center" wrapText="1"/>
    </xf>
    <xf numFmtId="0" fontId="19" fillId="10" borderId="14" xfId="8" applyFont="1" applyFill="1" applyBorder="1" applyAlignment="1">
      <alignment horizontal="left" vertical="center" wrapText="1"/>
    </xf>
    <xf numFmtId="0" fontId="19" fillId="10" borderId="10" xfId="8" applyFont="1" applyFill="1" applyBorder="1" applyAlignment="1">
      <alignment horizontal="left" vertical="center" wrapText="1"/>
    </xf>
    <xf numFmtId="0" fontId="24" fillId="4" borderId="15" xfId="6" applyFont="1" applyFill="1" applyBorder="1" applyAlignment="1">
      <alignment horizontal="left" vertical="center" wrapText="1"/>
    </xf>
    <xf numFmtId="0" fontId="21" fillId="0" borderId="36" xfId="6" applyFont="1" applyBorder="1" applyAlignment="1">
      <alignment horizontal="left" vertical="center" wrapText="1"/>
    </xf>
    <xf numFmtId="0" fontId="21" fillId="0" borderId="16" xfId="6" applyFont="1" applyBorder="1" applyAlignment="1">
      <alignment horizontal="left" vertical="center" wrapText="1"/>
    </xf>
    <xf numFmtId="0" fontId="18" fillId="10" borderId="15" xfId="8" applyFont="1" applyFill="1" applyBorder="1" applyAlignment="1">
      <alignment horizontal="center" vertical="center" wrapText="1"/>
    </xf>
    <xf numFmtId="0" fontId="18" fillId="10" borderId="36" xfId="8" applyFont="1" applyFill="1" applyBorder="1" applyAlignment="1">
      <alignment horizontal="center" vertical="center" wrapText="1"/>
    </xf>
    <xf numFmtId="0" fontId="25" fillId="10" borderId="5" xfId="8" applyFont="1" applyFill="1" applyBorder="1" applyAlignment="1">
      <alignment horizontal="center" vertical="center" wrapText="1"/>
    </xf>
    <xf numFmtId="0" fontId="25" fillId="10" borderId="10" xfId="8" applyFont="1" applyFill="1" applyBorder="1" applyAlignment="1">
      <alignment horizontal="center" vertical="center" wrapText="1"/>
    </xf>
    <xf numFmtId="0" fontId="25" fillId="10" borderId="38" xfId="8" applyFont="1" applyFill="1" applyBorder="1" applyAlignment="1">
      <alignment horizontal="center" vertical="center" wrapText="1"/>
    </xf>
    <xf numFmtId="0" fontId="25" fillId="10" borderId="39" xfId="8" applyFont="1" applyFill="1" applyBorder="1" applyAlignment="1">
      <alignment horizontal="center" vertical="center" wrapText="1"/>
    </xf>
    <xf numFmtId="0" fontId="0" fillId="9" borderId="13" xfId="0" applyFill="1" applyBorder="1" applyAlignment="1" applyProtection="1">
      <alignment vertical="center"/>
      <protection locked="0"/>
    </xf>
    <xf numFmtId="0" fontId="0" fillId="9" borderId="69" xfId="0" applyFill="1" applyBorder="1" applyAlignment="1" applyProtection="1">
      <alignment vertical="center"/>
      <protection locked="0"/>
    </xf>
    <xf numFmtId="0" fontId="0" fillId="9" borderId="70" xfId="0" applyFill="1" applyBorder="1" applyAlignment="1" applyProtection="1">
      <alignment vertical="center"/>
      <protection locked="0"/>
    </xf>
    <xf numFmtId="0" fontId="0" fillId="9" borderId="71" xfId="0" applyFill="1" applyBorder="1" applyAlignment="1" applyProtection="1">
      <alignment vertical="center"/>
      <protection locked="0"/>
    </xf>
    <xf numFmtId="0" fontId="0" fillId="9" borderId="72" xfId="0" applyFill="1" applyBorder="1" applyAlignment="1" applyProtection="1">
      <alignment vertical="center"/>
      <protection locked="0"/>
    </xf>
    <xf numFmtId="0" fontId="0" fillId="9" borderId="73" xfId="0" applyFill="1" applyBorder="1" applyAlignment="1" applyProtection="1">
      <alignment vertical="center"/>
      <protection locked="0"/>
    </xf>
    <xf numFmtId="0" fontId="0" fillId="9" borderId="74" xfId="0" applyFill="1" applyBorder="1" applyAlignment="1" applyProtection="1">
      <alignment vertical="center"/>
      <protection locked="0"/>
    </xf>
    <xf numFmtId="0" fontId="0" fillId="9" borderId="0" xfId="0" applyFill="1" applyAlignment="1">
      <alignment vertical="center" wrapText="1"/>
    </xf>
    <xf numFmtId="0" fontId="0" fillId="9" borderId="0" xfId="0" applyFill="1" applyAlignment="1">
      <alignment vertical="center"/>
    </xf>
    <xf numFmtId="0" fontId="0" fillId="0" borderId="0" xfId="0" applyAlignment="1">
      <alignment vertical="center"/>
    </xf>
    <xf numFmtId="0" fontId="0" fillId="9" borderId="66" xfId="0" applyFill="1" applyBorder="1" applyAlignment="1" applyProtection="1">
      <alignment vertical="center"/>
      <protection locked="0"/>
    </xf>
    <xf numFmtId="0" fontId="0" fillId="9" borderId="67" xfId="0" applyFill="1" applyBorder="1" applyAlignment="1" applyProtection="1">
      <alignment vertical="center"/>
      <protection locked="0"/>
    </xf>
    <xf numFmtId="0" fontId="0" fillId="9" borderId="68" xfId="0" applyFill="1" applyBorder="1" applyAlignment="1" applyProtection="1">
      <alignment vertical="center"/>
      <protection locked="0"/>
    </xf>
    <xf numFmtId="0" fontId="12" fillId="9" borderId="0" xfId="0" applyFont="1" applyFill="1" applyAlignment="1">
      <alignment horizontal="center" vertical="center" wrapText="1"/>
    </xf>
    <xf numFmtId="0" fontId="17" fillId="9" borderId="13" xfId="0" applyFont="1" applyFill="1" applyBorder="1" applyAlignment="1" applyProtection="1">
      <alignment horizontal="center" vertical="center"/>
      <protection locked="0"/>
    </xf>
    <xf numFmtId="0" fontId="11" fillId="9" borderId="0" xfId="0" applyFont="1" applyFill="1" applyAlignment="1">
      <alignment horizontal="left" vertical="center" wrapText="1"/>
    </xf>
    <xf numFmtId="0" fontId="0" fillId="9" borderId="2" xfId="0" applyFill="1" applyBorder="1" applyAlignment="1">
      <alignment horizontal="center" vertical="center" wrapText="1"/>
    </xf>
    <xf numFmtId="0" fontId="0" fillId="9" borderId="28" xfId="0" applyFill="1" applyBorder="1" applyAlignment="1">
      <alignment horizontal="center" vertical="center" wrapText="1"/>
    </xf>
    <xf numFmtId="0" fontId="0" fillId="9" borderId="9" xfId="0" applyFill="1" applyBorder="1" applyAlignment="1">
      <alignment horizontal="center" vertical="center" wrapText="1"/>
    </xf>
    <xf numFmtId="0" fontId="0" fillId="9" borderId="2" xfId="0" applyFill="1" applyBorder="1" applyAlignment="1">
      <alignment horizontal="center" vertical="center"/>
    </xf>
    <xf numFmtId="0" fontId="0" fillId="9" borderId="28" xfId="0" applyFill="1" applyBorder="1" applyAlignment="1">
      <alignment horizontal="center" vertical="center"/>
    </xf>
    <xf numFmtId="0" fontId="0" fillId="9" borderId="9" xfId="0" applyFill="1" applyBorder="1" applyAlignment="1">
      <alignment horizontal="center" vertical="center"/>
    </xf>
    <xf numFmtId="0" fontId="24" fillId="4" borderId="5" xfId="4" applyFont="1" applyFill="1" applyBorder="1" applyAlignment="1">
      <alignment horizontal="center" vertical="center" wrapText="1"/>
    </xf>
    <xf numFmtId="0" fontId="24" fillId="4" borderId="14" xfId="4" applyFont="1" applyFill="1" applyBorder="1" applyAlignment="1">
      <alignment horizontal="center" vertical="center" wrapText="1"/>
    </xf>
    <xf numFmtId="0" fontId="24" fillId="4" borderId="10" xfId="4" applyFont="1" applyFill="1" applyBorder="1" applyAlignment="1">
      <alignment horizontal="center" vertical="center" wrapText="1"/>
    </xf>
    <xf numFmtId="0" fontId="24" fillId="4" borderId="38" xfId="4" applyFont="1" applyFill="1" applyBorder="1" applyAlignment="1">
      <alignment horizontal="center" vertical="center" wrapText="1"/>
    </xf>
    <xf numFmtId="0" fontId="24" fillId="4" borderId="21" xfId="4" applyFont="1" applyFill="1" applyBorder="1" applyAlignment="1">
      <alignment horizontal="center" vertical="center" wrapText="1"/>
    </xf>
    <xf numFmtId="0" fontId="24" fillId="4" borderId="39" xfId="4" applyFont="1" applyFill="1" applyBorder="1" applyAlignment="1">
      <alignment horizontal="center" vertical="center" wrapText="1"/>
    </xf>
    <xf numFmtId="0" fontId="18" fillId="10" borderId="15" xfId="3" applyFont="1" applyFill="1" applyBorder="1" applyAlignment="1">
      <alignment horizontal="center" vertical="center" wrapText="1"/>
    </xf>
    <xf numFmtId="0" fontId="18" fillId="10" borderId="16" xfId="3" applyFont="1" applyFill="1" applyBorder="1" applyAlignment="1">
      <alignment horizontal="center" vertical="center" wrapText="1"/>
    </xf>
    <xf numFmtId="0" fontId="18" fillId="10" borderId="36" xfId="3" applyFont="1" applyFill="1" applyBorder="1" applyAlignment="1">
      <alignment horizontal="center" vertical="center" wrapText="1"/>
    </xf>
    <xf numFmtId="0" fontId="18" fillId="10" borderId="5" xfId="3" applyFont="1" applyFill="1" applyBorder="1" applyAlignment="1">
      <alignment horizontal="center" vertical="center" wrapText="1"/>
    </xf>
    <xf numFmtId="0" fontId="18" fillId="10" borderId="14" xfId="3" applyFont="1" applyFill="1" applyBorder="1" applyAlignment="1">
      <alignment horizontal="center" vertical="center" wrapText="1"/>
    </xf>
    <xf numFmtId="0" fontId="18" fillId="10" borderId="10" xfId="3" applyFont="1" applyFill="1" applyBorder="1" applyAlignment="1">
      <alignment horizontal="center" vertical="center" wrapText="1"/>
    </xf>
    <xf numFmtId="0" fontId="18" fillId="10" borderId="11" xfId="3" applyFont="1" applyFill="1" applyBorder="1" applyAlignment="1">
      <alignment horizontal="center" vertical="center" wrapText="1"/>
    </xf>
    <xf numFmtId="0" fontId="18" fillId="10" borderId="0" xfId="3" applyFont="1" applyFill="1" applyAlignment="1">
      <alignment horizontal="center" vertical="center" wrapText="1"/>
    </xf>
    <xf numFmtId="0" fontId="18" fillId="10" borderId="12" xfId="3" applyFont="1" applyFill="1" applyBorder="1" applyAlignment="1">
      <alignment horizontal="center" vertical="center" wrapText="1"/>
    </xf>
    <xf numFmtId="0" fontId="31" fillId="0" borderId="0" xfId="0" applyFont="1" applyAlignment="1">
      <alignment horizontal="center" vertical="center"/>
    </xf>
  </cellXfs>
  <cellStyles count="11">
    <cellStyle name="Hyperlink 2" xfId="1" xr:uid="{00000000-0005-0000-0000-000001000000}"/>
    <cellStyle name="Normal" xfId="0" builtinId="0"/>
    <cellStyle name="Normal 2" xfId="2" xr:uid="{CAB04C16-4293-464E-ABFC-01628B04DBE7}"/>
    <cellStyle name="Normal 2 2" xfId="4" xr:uid="{936623DE-A1B5-4003-A189-7A25401A1C90}"/>
    <cellStyle name="Normal 2 2 2" xfId="6" xr:uid="{4F97A90A-ADD4-46DC-B997-A47434B84E9D}"/>
    <cellStyle name="Normal 2 3" xfId="5" xr:uid="{01A65054-D29D-43B3-8C4B-1049884A8AAE}"/>
    <cellStyle name="Normal 2 4" xfId="7" xr:uid="{0291B4C3-F475-4F0F-B4C7-9183A2A0D183}"/>
    <cellStyle name="Normal 3" xfId="3" xr:uid="{0FA791DA-F85D-46B4-831F-B730A0720D0E}"/>
    <cellStyle name="Normal 3 2" xfId="10" xr:uid="{8A71E905-0B90-41C2-9EAC-F814921642A9}"/>
    <cellStyle name="Normal 3 3" xfId="8" xr:uid="{7EEF26F8-AB47-43C5-8C03-7F58A04F39F5}"/>
    <cellStyle name="Normal 4" xfId="9" xr:uid="{BE2361FB-C0FB-495C-83A1-C3851749B94F}"/>
  </cellStyles>
  <dxfs count="22">
    <dxf>
      <fill>
        <patternFill patternType="lightTrellis">
          <fgColor indexed="64"/>
          <bgColor indexed="65"/>
        </patternFill>
      </fill>
    </dxf>
    <dxf>
      <fill>
        <patternFill patternType="lightTrellis">
          <fgColor indexed="64"/>
        </patternFill>
      </fill>
    </dxf>
    <dxf>
      <fill>
        <patternFill patternType="lightTrellis"/>
      </fill>
    </dxf>
    <dxf>
      <fill>
        <patternFill>
          <bgColor rgb="FFFF0000"/>
        </patternFill>
      </fill>
      <border>
        <left style="thin">
          <color auto="1"/>
        </left>
        <right style="thin">
          <color auto="1"/>
        </right>
        <top style="thin">
          <color auto="1"/>
        </top>
        <bottom style="thin">
          <color auto="1"/>
        </bottom>
        <vertical/>
        <horizontal/>
      </border>
    </dxf>
    <dxf>
      <fill>
        <patternFill>
          <bgColor rgb="FFFFFF00"/>
        </patternFill>
      </fill>
      <border>
        <left style="thin">
          <color rgb="FFFF0000"/>
        </left>
        <right style="thin">
          <color rgb="FFFF0000"/>
        </right>
        <top style="thin">
          <color rgb="FFFF0000"/>
        </top>
        <bottom style="thin">
          <color rgb="FFFF0000"/>
        </bottom>
        <vertical/>
        <horizontal/>
      </border>
    </dxf>
    <dxf>
      <fill>
        <patternFill patternType="lightTrellis">
          <bgColor indexed="65"/>
        </patternFill>
      </fill>
    </dxf>
    <dxf>
      <fill>
        <patternFill patternType="solid">
          <fgColor theme="0"/>
          <bgColor theme="0" tint="-0.24994659260841701"/>
        </patternFill>
      </fill>
    </dxf>
    <dxf>
      <fill>
        <patternFill>
          <bgColor rgb="FFFF0000"/>
        </patternFill>
      </fill>
    </dxf>
    <dxf>
      <fill>
        <patternFill>
          <bgColor rgb="FFFFFF00"/>
        </patternFill>
      </fill>
    </dxf>
    <dxf>
      <fill>
        <patternFill>
          <bgColor rgb="FFFFFF00"/>
        </patternFill>
      </fill>
      <border>
        <left style="thin">
          <color rgb="FFFF0000"/>
        </left>
        <right style="thin">
          <color rgb="FFFF0000"/>
        </right>
        <top style="thin">
          <color rgb="FFFF0000"/>
        </top>
        <bottom style="thin">
          <color rgb="FFFF0000"/>
        </bottom>
        <vertical/>
        <horizontal/>
      </border>
    </dxf>
    <dxf>
      <fill>
        <patternFill>
          <bgColor rgb="FFFFFF00"/>
        </patternFill>
      </fill>
      <border>
        <left style="thin">
          <color rgb="FFFF0000"/>
        </left>
        <right style="thin">
          <color rgb="FFFF0000"/>
        </right>
        <top style="thin">
          <color rgb="FFFF0000"/>
        </top>
        <bottom style="thin">
          <color rgb="FFFF0000"/>
        </bottom>
        <vertical/>
        <horizontal/>
      </border>
    </dxf>
    <dxf>
      <fill>
        <patternFill>
          <bgColor rgb="FFFFFF00"/>
        </patternFill>
      </fill>
      <border>
        <left style="thin">
          <color rgb="FFFF0000"/>
        </left>
        <right style="thin">
          <color rgb="FFFF0000"/>
        </right>
        <top style="thin">
          <color rgb="FFFF0000"/>
        </top>
        <bottom style="thin">
          <color rgb="FFFF0000"/>
        </bottom>
        <vertical/>
        <horizontal/>
      </border>
    </dxf>
    <dxf>
      <fill>
        <patternFill>
          <bgColor rgb="FFFFFF00"/>
        </patternFill>
      </fill>
      <border>
        <left style="thin">
          <color rgb="FFFF0000"/>
        </left>
        <right style="thin">
          <color rgb="FFFF0000"/>
        </right>
        <top style="thin">
          <color rgb="FFFF0000"/>
        </top>
        <bottom style="thin">
          <color rgb="FFFF0000"/>
        </bottom>
        <vertical/>
        <horizontal/>
      </border>
    </dxf>
    <dxf>
      <fill>
        <patternFill>
          <bgColor rgb="FFFFFF00"/>
        </patternFill>
      </fill>
    </dxf>
    <dxf>
      <fill>
        <patternFill>
          <bgColor rgb="FFFFFF00"/>
        </patternFill>
      </fill>
      <border>
        <left style="thin">
          <color rgb="FFFF0000"/>
        </left>
        <right style="thin">
          <color rgb="FFFF0000"/>
        </right>
        <top style="thin">
          <color rgb="FFFF0000"/>
        </top>
        <bottom style="thin">
          <color rgb="FFFF0000"/>
        </bottom>
        <vertical/>
        <horizontal/>
      </border>
    </dxf>
    <dxf>
      <fill>
        <patternFill patternType="solid">
          <bgColor theme="0" tint="-0.34998626667073579"/>
        </patternFill>
      </fill>
    </dxf>
    <dxf>
      <fill>
        <patternFill>
          <bgColor rgb="FFFFFF00"/>
        </patternFill>
      </fill>
      <border>
        <left style="thin">
          <color rgb="FFFF0000"/>
        </left>
        <right style="thin">
          <color rgb="FFFF0000"/>
        </right>
        <top style="thin">
          <color rgb="FFFF0000"/>
        </top>
        <bottom style="thin">
          <color rgb="FFFF0000"/>
        </bottom>
        <vertical/>
        <horizontal/>
      </border>
    </dxf>
    <dxf>
      <fill>
        <patternFill>
          <bgColor rgb="FFFFFF00"/>
        </patternFill>
      </fill>
      <border>
        <left style="thin">
          <color rgb="FFFF0000"/>
        </left>
        <right style="thin">
          <color rgb="FFFF0000"/>
        </right>
        <top style="thin">
          <color rgb="FFFF0000"/>
        </top>
        <bottom style="thin">
          <color rgb="FFFF0000"/>
        </bottom>
        <vertical/>
        <horizontal/>
      </border>
    </dxf>
    <dxf>
      <fill>
        <patternFill>
          <bgColor rgb="FFFFFF00"/>
        </patternFill>
      </fill>
      <border>
        <left style="thin">
          <color rgb="FFFF0000"/>
        </left>
        <right style="thin">
          <color rgb="FFFF0000"/>
        </right>
        <top style="thin">
          <color rgb="FFFF0000"/>
        </top>
        <bottom style="thin">
          <color rgb="FFFF0000"/>
        </bottom>
        <vertical/>
        <horizontal/>
      </border>
    </dxf>
    <dxf>
      <fill>
        <patternFill>
          <bgColor rgb="FFFFFF00"/>
        </patternFill>
      </fill>
      <border>
        <left style="thin">
          <color rgb="FFFF0000"/>
        </left>
        <right style="thin">
          <color rgb="FFFF0000"/>
        </right>
        <top style="thin">
          <color rgb="FFFF0000"/>
        </top>
        <bottom style="thin">
          <color rgb="FFFF0000"/>
        </bottom>
        <vertical/>
        <horizontal/>
      </border>
    </dxf>
    <dxf>
      <fill>
        <patternFill>
          <bgColor rgb="FFFFFF00"/>
        </patternFill>
      </fill>
      <border>
        <left style="thin">
          <color rgb="FFFF0000"/>
        </left>
        <right style="thin">
          <color rgb="FFFF0000"/>
        </right>
        <top style="thin">
          <color rgb="FFFF0000"/>
        </top>
        <bottom style="thin">
          <color rgb="FFFF0000"/>
        </bottom>
        <vertical/>
        <horizontal/>
      </border>
    </dxf>
    <dxf>
      <fill>
        <patternFill>
          <bgColor rgb="FFFFFF00"/>
        </patternFill>
      </fill>
      <border>
        <left style="thin">
          <color rgb="FFFF0000"/>
        </left>
        <right style="thin">
          <color rgb="FFFF0000"/>
        </right>
        <top style="thin">
          <color rgb="FFFF0000"/>
        </top>
        <bottom style="thin">
          <color rgb="FFFF0000"/>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image" Target="../media/image25.svg"/><Relationship Id="rId33" Type="http://schemas.openxmlformats.org/officeDocument/2006/relationships/image" Target="../media/image33.sv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29" Type="http://schemas.openxmlformats.org/officeDocument/2006/relationships/image" Target="../media/image29.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svg"/><Relationship Id="rId19" Type="http://schemas.openxmlformats.org/officeDocument/2006/relationships/image" Target="../media/image19.png"/><Relationship Id="rId31" Type="http://schemas.openxmlformats.org/officeDocument/2006/relationships/image" Target="../media/image31.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image" Target="../media/image27.svg"/><Relationship Id="rId30" Type="http://schemas.openxmlformats.org/officeDocument/2006/relationships/image" Target="../media/image30.png"/><Relationship Id="rId8" Type="http://schemas.openxmlformats.org/officeDocument/2006/relationships/image" Target="../media/image8.svg"/></Relationships>
</file>

<file path=xl/drawings/_rels/drawing2.xml.rels><?xml version="1.0" encoding="UTF-8" standalone="yes"?>
<Relationships xmlns="http://schemas.openxmlformats.org/package/2006/relationships"><Relationship Id="rId2" Type="http://schemas.openxmlformats.org/officeDocument/2006/relationships/image" Target="../media/image34.jpeg"/><Relationship Id="rId1" Type="http://schemas.openxmlformats.org/officeDocument/2006/relationships/image" Target="../media/image2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3.png"/></Relationships>
</file>

<file path=xl/drawings/_rels/drawing5.xml.rels><?xml version="1.0" encoding="UTF-8" standalone="yes"?>
<Relationships xmlns="http://schemas.openxmlformats.org/package/2006/relationships"><Relationship Id="rId1" Type="http://schemas.openxmlformats.org/officeDocument/2006/relationships/image" Target="../media/image23.png"/></Relationships>
</file>

<file path=xl/drawings/_rels/drawing6.xml.rels><?xml version="1.0" encoding="UTF-8" standalone="yes"?>
<Relationships xmlns="http://schemas.openxmlformats.org/package/2006/relationships"><Relationship Id="rId1" Type="http://schemas.openxmlformats.org/officeDocument/2006/relationships/image" Target="../media/image23.png"/></Relationships>
</file>

<file path=xl/drawings/_rels/drawing7.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oneCellAnchor>
    <xdr:from>
      <xdr:col>7</xdr:col>
      <xdr:colOff>60960</xdr:colOff>
      <xdr:row>6</xdr:row>
      <xdr:rowOff>19050</xdr:rowOff>
    </xdr:from>
    <xdr:ext cx="271145" cy="277495"/>
    <xdr:pic>
      <xdr:nvPicPr>
        <xdr:cNvPr id="2" name="Graphic 1" descr="Daily calendar with solid fill">
          <a:extLst>
            <a:ext uri="{FF2B5EF4-FFF2-40B4-BE49-F238E27FC236}">
              <a16:creationId xmlns:a16="http://schemas.microsoft.com/office/drawing/2014/main" id="{90A21D6C-0BA6-46EC-9FBA-24112EEE70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5118735" y="1943100"/>
          <a:ext cx="271145" cy="277495"/>
        </a:xfrm>
        <a:prstGeom prst="rect">
          <a:avLst/>
        </a:prstGeom>
      </xdr:spPr>
    </xdr:pic>
    <xdr:clientData/>
  </xdr:oneCellAnchor>
  <xdr:oneCellAnchor>
    <xdr:from>
      <xdr:col>1</xdr:col>
      <xdr:colOff>83820</xdr:colOff>
      <xdr:row>31</xdr:row>
      <xdr:rowOff>1270</xdr:rowOff>
    </xdr:from>
    <xdr:ext cx="498475" cy="448946"/>
    <xdr:pic>
      <xdr:nvPicPr>
        <xdr:cNvPr id="3" name="Graphic 2" descr="Factory with solid fill">
          <a:extLst>
            <a:ext uri="{FF2B5EF4-FFF2-40B4-BE49-F238E27FC236}">
              <a16:creationId xmlns:a16="http://schemas.microsoft.com/office/drawing/2014/main" id="{8F342AA3-B338-4D43-B125-5C27C4E73D8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55320" y="7954645"/>
          <a:ext cx="498475" cy="448946"/>
        </a:xfrm>
        <a:prstGeom prst="rect">
          <a:avLst/>
        </a:prstGeom>
      </xdr:spPr>
    </xdr:pic>
    <xdr:clientData/>
  </xdr:oneCellAnchor>
  <xdr:oneCellAnchor>
    <xdr:from>
      <xdr:col>1</xdr:col>
      <xdr:colOff>68580</xdr:colOff>
      <xdr:row>36</xdr:row>
      <xdr:rowOff>129540</xdr:rowOff>
    </xdr:from>
    <xdr:ext cx="454025" cy="410845"/>
    <xdr:pic>
      <xdr:nvPicPr>
        <xdr:cNvPr id="4" name="Graphic 3" descr="Koi with solid fill">
          <a:extLst>
            <a:ext uri="{FF2B5EF4-FFF2-40B4-BE49-F238E27FC236}">
              <a16:creationId xmlns:a16="http://schemas.microsoft.com/office/drawing/2014/main" id="{AE1BF439-E4B1-42D0-9D02-649970CB5B5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0080" y="9492615"/>
          <a:ext cx="454025" cy="410845"/>
        </a:xfrm>
        <a:prstGeom prst="rect">
          <a:avLst/>
        </a:prstGeom>
      </xdr:spPr>
    </xdr:pic>
    <xdr:clientData/>
  </xdr:oneCellAnchor>
  <xdr:oneCellAnchor>
    <xdr:from>
      <xdr:col>1</xdr:col>
      <xdr:colOff>76200</xdr:colOff>
      <xdr:row>38</xdr:row>
      <xdr:rowOff>106680</xdr:rowOff>
    </xdr:from>
    <xdr:ext cx="457200" cy="407670"/>
    <xdr:pic>
      <xdr:nvPicPr>
        <xdr:cNvPr id="5" name="Graphic 4" descr="Candle with solid fill">
          <a:extLst>
            <a:ext uri="{FF2B5EF4-FFF2-40B4-BE49-F238E27FC236}">
              <a16:creationId xmlns:a16="http://schemas.microsoft.com/office/drawing/2014/main" id="{72DD17A5-C0CD-45F8-B3CA-05596354257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647700" y="10079355"/>
          <a:ext cx="457200" cy="407670"/>
        </a:xfrm>
        <a:prstGeom prst="rect">
          <a:avLst/>
        </a:prstGeom>
      </xdr:spPr>
    </xdr:pic>
    <xdr:clientData/>
  </xdr:oneCellAnchor>
  <xdr:oneCellAnchor>
    <xdr:from>
      <xdr:col>1</xdr:col>
      <xdr:colOff>116205</xdr:colOff>
      <xdr:row>41</xdr:row>
      <xdr:rowOff>18415</xdr:rowOff>
    </xdr:from>
    <xdr:ext cx="454025" cy="410846"/>
    <xdr:pic>
      <xdr:nvPicPr>
        <xdr:cNvPr id="6" name="Graphic 5" descr="Books with solid fill">
          <a:extLst>
            <a:ext uri="{FF2B5EF4-FFF2-40B4-BE49-F238E27FC236}">
              <a16:creationId xmlns:a16="http://schemas.microsoft.com/office/drawing/2014/main" id="{A30716F0-8ABC-4921-9065-0FC22C7A19C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687705" y="10619740"/>
          <a:ext cx="454025" cy="410846"/>
        </a:xfrm>
        <a:prstGeom prst="rect">
          <a:avLst/>
        </a:prstGeom>
      </xdr:spPr>
    </xdr:pic>
    <xdr:clientData/>
  </xdr:oneCellAnchor>
  <xdr:oneCellAnchor>
    <xdr:from>
      <xdr:col>1</xdr:col>
      <xdr:colOff>68580</xdr:colOff>
      <xdr:row>49</xdr:row>
      <xdr:rowOff>0</xdr:rowOff>
    </xdr:from>
    <xdr:ext cx="454025" cy="410845"/>
    <xdr:pic>
      <xdr:nvPicPr>
        <xdr:cNvPr id="7" name="Graphic 6" descr="Mop and bucket with solid fill">
          <a:extLst>
            <a:ext uri="{FF2B5EF4-FFF2-40B4-BE49-F238E27FC236}">
              <a16:creationId xmlns:a16="http://schemas.microsoft.com/office/drawing/2014/main" id="{B97A5254-F5D1-41C9-9F66-03337C95E67B}"/>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640080" y="12706350"/>
          <a:ext cx="454025" cy="410845"/>
        </a:xfrm>
        <a:prstGeom prst="rect">
          <a:avLst/>
        </a:prstGeom>
      </xdr:spPr>
    </xdr:pic>
    <xdr:clientData/>
  </xdr:oneCellAnchor>
  <xdr:oneCellAnchor>
    <xdr:from>
      <xdr:col>1</xdr:col>
      <xdr:colOff>76200</xdr:colOff>
      <xdr:row>34</xdr:row>
      <xdr:rowOff>144780</xdr:rowOff>
    </xdr:from>
    <xdr:ext cx="457200" cy="398146"/>
    <xdr:pic>
      <xdr:nvPicPr>
        <xdr:cNvPr id="8" name="Graphic 7" descr="Forest scene with solid fill">
          <a:extLst>
            <a:ext uri="{FF2B5EF4-FFF2-40B4-BE49-F238E27FC236}">
              <a16:creationId xmlns:a16="http://schemas.microsoft.com/office/drawing/2014/main" id="{27898F59-E31C-47DC-98A5-54B1E70C8A28}"/>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647700" y="9003030"/>
          <a:ext cx="457200" cy="398146"/>
        </a:xfrm>
        <a:prstGeom prst="rect">
          <a:avLst/>
        </a:prstGeom>
      </xdr:spPr>
    </xdr:pic>
    <xdr:clientData/>
  </xdr:oneCellAnchor>
  <xdr:oneCellAnchor>
    <xdr:from>
      <xdr:col>1</xdr:col>
      <xdr:colOff>69850</xdr:colOff>
      <xdr:row>6</xdr:row>
      <xdr:rowOff>52070</xdr:rowOff>
    </xdr:from>
    <xdr:ext cx="274320" cy="274320"/>
    <xdr:pic>
      <xdr:nvPicPr>
        <xdr:cNvPr id="9" name="Graphic 8" descr="Information with solid fill">
          <a:extLst>
            <a:ext uri="{FF2B5EF4-FFF2-40B4-BE49-F238E27FC236}">
              <a16:creationId xmlns:a16="http://schemas.microsoft.com/office/drawing/2014/main" id="{D1BF31F7-9FAA-4A40-9222-05CA1009F65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641350" y="1976120"/>
          <a:ext cx="274320" cy="274320"/>
        </a:xfrm>
        <a:prstGeom prst="rect">
          <a:avLst/>
        </a:prstGeom>
      </xdr:spPr>
    </xdr:pic>
    <xdr:clientData/>
  </xdr:oneCellAnchor>
  <xdr:oneCellAnchor>
    <xdr:from>
      <xdr:col>1</xdr:col>
      <xdr:colOff>82550</xdr:colOff>
      <xdr:row>45</xdr:row>
      <xdr:rowOff>0</xdr:rowOff>
    </xdr:from>
    <xdr:ext cx="411480" cy="408305"/>
    <xdr:pic>
      <xdr:nvPicPr>
        <xdr:cNvPr id="10" name="Graphic 9" descr="Pencil with solid fill">
          <a:extLst>
            <a:ext uri="{FF2B5EF4-FFF2-40B4-BE49-F238E27FC236}">
              <a16:creationId xmlns:a16="http://schemas.microsoft.com/office/drawing/2014/main" id="{E015B04E-5EF7-4D69-8788-A591DE4E73C9}"/>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654050" y="11658600"/>
          <a:ext cx="411480" cy="408305"/>
        </a:xfrm>
        <a:prstGeom prst="rect">
          <a:avLst/>
        </a:prstGeom>
      </xdr:spPr>
    </xdr:pic>
    <xdr:clientData/>
  </xdr:oneCellAnchor>
  <xdr:oneCellAnchor>
    <xdr:from>
      <xdr:col>1</xdr:col>
      <xdr:colOff>95250</xdr:colOff>
      <xdr:row>47</xdr:row>
      <xdr:rowOff>0</xdr:rowOff>
    </xdr:from>
    <xdr:ext cx="408305" cy="408305"/>
    <xdr:pic>
      <xdr:nvPicPr>
        <xdr:cNvPr id="11" name="Graphic 10" descr="Palette with solid fill">
          <a:extLst>
            <a:ext uri="{FF2B5EF4-FFF2-40B4-BE49-F238E27FC236}">
              <a16:creationId xmlns:a16="http://schemas.microsoft.com/office/drawing/2014/main" id="{1DA45631-9C03-456C-8BAC-D70D04E2260D}"/>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666750" y="12182475"/>
          <a:ext cx="408305" cy="408305"/>
        </a:xfrm>
        <a:prstGeom prst="rect">
          <a:avLst/>
        </a:prstGeom>
      </xdr:spPr>
    </xdr:pic>
    <xdr:clientData/>
  </xdr:oneCellAnchor>
  <xdr:oneCellAnchor>
    <xdr:from>
      <xdr:col>1</xdr:col>
      <xdr:colOff>114300</xdr:colOff>
      <xdr:row>33</xdr:row>
      <xdr:rowOff>0</xdr:rowOff>
    </xdr:from>
    <xdr:ext cx="408305" cy="408305"/>
    <xdr:pic>
      <xdr:nvPicPr>
        <xdr:cNvPr id="12" name="Graphic 11" descr="Salt And Pepper with solid fill">
          <a:extLst>
            <a:ext uri="{FF2B5EF4-FFF2-40B4-BE49-F238E27FC236}">
              <a16:creationId xmlns:a16="http://schemas.microsoft.com/office/drawing/2014/main" id="{CB8BBF8A-3395-4A16-8E7D-1822F7806CCA}"/>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685800" y="8477250"/>
          <a:ext cx="408305" cy="408305"/>
        </a:xfrm>
        <a:prstGeom prst="rect">
          <a:avLst/>
        </a:prstGeom>
      </xdr:spPr>
    </xdr:pic>
    <xdr:clientData/>
  </xdr:oneCellAnchor>
  <xdr:oneCellAnchor>
    <xdr:from>
      <xdr:col>1</xdr:col>
      <xdr:colOff>63500</xdr:colOff>
      <xdr:row>1</xdr:row>
      <xdr:rowOff>50800</xdr:rowOff>
    </xdr:from>
    <xdr:ext cx="1327150" cy="783167"/>
    <xdr:pic>
      <xdr:nvPicPr>
        <xdr:cNvPr id="13" name="Picture 12">
          <a:extLst>
            <a:ext uri="{FF2B5EF4-FFF2-40B4-BE49-F238E27FC236}">
              <a16:creationId xmlns:a16="http://schemas.microsoft.com/office/drawing/2014/main" id="{38DAC1DF-0C29-4E2F-9E24-D2B07F3AB306}"/>
            </a:ext>
          </a:extLst>
        </xdr:cNvPr>
        <xdr:cNvPicPr>
          <a:picLocks noChangeAspect="1"/>
        </xdr:cNvPicPr>
      </xdr:nvPicPr>
      <xdr:blipFill>
        <a:blip xmlns:r="http://schemas.openxmlformats.org/officeDocument/2006/relationships" r:embed="rId23"/>
        <a:stretch>
          <a:fillRect/>
        </a:stretch>
      </xdr:blipFill>
      <xdr:spPr>
        <a:xfrm>
          <a:off x="635000" y="222250"/>
          <a:ext cx="1327150" cy="783167"/>
        </a:xfrm>
        <a:prstGeom prst="rect">
          <a:avLst/>
        </a:prstGeom>
      </xdr:spPr>
    </xdr:pic>
    <xdr:clientData/>
  </xdr:oneCellAnchor>
  <xdr:oneCellAnchor>
    <xdr:from>
      <xdr:col>1</xdr:col>
      <xdr:colOff>323851</xdr:colOff>
      <xdr:row>7</xdr:row>
      <xdr:rowOff>152401</xdr:rowOff>
    </xdr:from>
    <xdr:ext cx="314324" cy="314324"/>
    <xdr:pic>
      <xdr:nvPicPr>
        <xdr:cNvPr id="14" name="Graphic 13" descr="Badge Tick1 with solid fill">
          <a:extLst>
            <a:ext uri="{FF2B5EF4-FFF2-40B4-BE49-F238E27FC236}">
              <a16:creationId xmlns:a16="http://schemas.microsoft.com/office/drawing/2014/main" id="{06A86316-1EB8-4CDF-ACC2-6E92A016E3FB}"/>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895351" y="2438401"/>
          <a:ext cx="314324" cy="314324"/>
        </a:xfrm>
        <a:prstGeom prst="rect">
          <a:avLst/>
        </a:prstGeom>
      </xdr:spPr>
    </xdr:pic>
    <xdr:clientData/>
  </xdr:oneCellAnchor>
  <xdr:oneCellAnchor>
    <xdr:from>
      <xdr:col>1</xdr:col>
      <xdr:colOff>323850</xdr:colOff>
      <xdr:row>8</xdr:row>
      <xdr:rowOff>200025</xdr:rowOff>
    </xdr:from>
    <xdr:ext cx="314324" cy="314324"/>
    <xdr:pic>
      <xdr:nvPicPr>
        <xdr:cNvPr id="15" name="Graphic 14" descr="Badge Tick1 with solid fill">
          <a:extLst>
            <a:ext uri="{FF2B5EF4-FFF2-40B4-BE49-F238E27FC236}">
              <a16:creationId xmlns:a16="http://schemas.microsoft.com/office/drawing/2014/main" id="{718FDC22-2F98-4EA6-AD9C-00A22E66CB3D}"/>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895350" y="3067050"/>
          <a:ext cx="314324" cy="314324"/>
        </a:xfrm>
        <a:prstGeom prst="rect">
          <a:avLst/>
        </a:prstGeom>
      </xdr:spPr>
    </xdr:pic>
    <xdr:clientData/>
  </xdr:oneCellAnchor>
  <xdr:oneCellAnchor>
    <xdr:from>
      <xdr:col>1</xdr:col>
      <xdr:colOff>314325</xdr:colOff>
      <xdr:row>9</xdr:row>
      <xdr:rowOff>142875</xdr:rowOff>
    </xdr:from>
    <xdr:ext cx="314324" cy="314324"/>
    <xdr:pic>
      <xdr:nvPicPr>
        <xdr:cNvPr id="16" name="Graphic 15" descr="Badge Tick1 with solid fill">
          <a:extLst>
            <a:ext uri="{FF2B5EF4-FFF2-40B4-BE49-F238E27FC236}">
              <a16:creationId xmlns:a16="http://schemas.microsoft.com/office/drawing/2014/main" id="{ECD9DAEB-C3C7-476A-BA1D-5A6D7F4916A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885825" y="3724275"/>
          <a:ext cx="314324" cy="314324"/>
        </a:xfrm>
        <a:prstGeom prst="rect">
          <a:avLst/>
        </a:prstGeom>
      </xdr:spPr>
    </xdr:pic>
    <xdr:clientData/>
  </xdr:oneCellAnchor>
  <xdr:oneCellAnchor>
    <xdr:from>
      <xdr:col>7</xdr:col>
      <xdr:colOff>314325</xdr:colOff>
      <xdr:row>7</xdr:row>
      <xdr:rowOff>57150</xdr:rowOff>
    </xdr:from>
    <xdr:ext cx="314324" cy="314324"/>
    <xdr:pic>
      <xdr:nvPicPr>
        <xdr:cNvPr id="17" name="Graphic 16" descr="Badge Tick1 with solid fill">
          <a:extLst>
            <a:ext uri="{FF2B5EF4-FFF2-40B4-BE49-F238E27FC236}">
              <a16:creationId xmlns:a16="http://schemas.microsoft.com/office/drawing/2014/main" id="{BDB1D647-6FE5-4765-AA57-92BB4DD0BFD1}"/>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5372100" y="2343150"/>
          <a:ext cx="314324" cy="314324"/>
        </a:xfrm>
        <a:prstGeom prst="rect">
          <a:avLst/>
        </a:prstGeom>
      </xdr:spPr>
    </xdr:pic>
    <xdr:clientData/>
  </xdr:oneCellAnchor>
  <xdr:oneCellAnchor>
    <xdr:from>
      <xdr:col>7</xdr:col>
      <xdr:colOff>314325</xdr:colOff>
      <xdr:row>8</xdr:row>
      <xdr:rowOff>114300</xdr:rowOff>
    </xdr:from>
    <xdr:ext cx="314324" cy="314324"/>
    <xdr:pic>
      <xdr:nvPicPr>
        <xdr:cNvPr id="18" name="Graphic 17" descr="Badge Tick1 with solid fill">
          <a:extLst>
            <a:ext uri="{FF2B5EF4-FFF2-40B4-BE49-F238E27FC236}">
              <a16:creationId xmlns:a16="http://schemas.microsoft.com/office/drawing/2014/main" id="{0EA60312-91BF-4EBB-BDB7-049B301E808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5372100" y="2981325"/>
          <a:ext cx="314324" cy="314324"/>
        </a:xfrm>
        <a:prstGeom prst="rect">
          <a:avLst/>
        </a:prstGeom>
      </xdr:spPr>
    </xdr:pic>
    <xdr:clientData/>
  </xdr:oneCellAnchor>
  <xdr:oneCellAnchor>
    <xdr:from>
      <xdr:col>7</xdr:col>
      <xdr:colOff>314325</xdr:colOff>
      <xdr:row>9</xdr:row>
      <xdr:rowOff>142875</xdr:rowOff>
    </xdr:from>
    <xdr:ext cx="314324" cy="314324"/>
    <xdr:pic>
      <xdr:nvPicPr>
        <xdr:cNvPr id="19" name="Graphic 18" descr="Badge Tick1 with solid fill">
          <a:extLst>
            <a:ext uri="{FF2B5EF4-FFF2-40B4-BE49-F238E27FC236}">
              <a16:creationId xmlns:a16="http://schemas.microsoft.com/office/drawing/2014/main" id="{2D5CC087-E8B4-40DA-85D0-4234CF980D1D}"/>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5372100" y="3724275"/>
          <a:ext cx="314324" cy="314324"/>
        </a:xfrm>
        <a:prstGeom prst="rect">
          <a:avLst/>
        </a:prstGeom>
      </xdr:spPr>
    </xdr:pic>
    <xdr:clientData/>
  </xdr:oneCellAnchor>
  <xdr:oneCellAnchor>
    <xdr:from>
      <xdr:col>1</xdr:col>
      <xdr:colOff>314325</xdr:colOff>
      <xdr:row>20</xdr:row>
      <xdr:rowOff>0</xdr:rowOff>
    </xdr:from>
    <xdr:ext cx="314324" cy="314323"/>
    <xdr:pic>
      <xdr:nvPicPr>
        <xdr:cNvPr id="20" name="Graphic 19" descr="Chevron arrows with solid fill">
          <a:extLst>
            <a:ext uri="{FF2B5EF4-FFF2-40B4-BE49-F238E27FC236}">
              <a16:creationId xmlns:a16="http://schemas.microsoft.com/office/drawing/2014/main" id="{CB893E99-1087-41C2-8197-EF75DBCFCBD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 uri="{96DAC541-7B7A-43D3-8B79-37D633B846F1}">
              <asvg:svgBlip xmlns:asvg="http://schemas.microsoft.com/office/drawing/2016/SVG/main" r:embed="rId27"/>
            </a:ext>
          </a:extLst>
        </a:blip>
        <a:srcRect/>
        <a:stretch/>
      </xdr:blipFill>
      <xdr:spPr>
        <a:xfrm>
          <a:off x="885825" y="5838825"/>
          <a:ext cx="314324" cy="314323"/>
        </a:xfrm>
        <a:prstGeom prst="rect">
          <a:avLst/>
        </a:prstGeom>
      </xdr:spPr>
    </xdr:pic>
    <xdr:clientData/>
  </xdr:oneCellAnchor>
  <xdr:oneCellAnchor>
    <xdr:from>
      <xdr:col>1</xdr:col>
      <xdr:colOff>304800</xdr:colOff>
      <xdr:row>13</xdr:row>
      <xdr:rowOff>133350</xdr:rowOff>
    </xdr:from>
    <xdr:ext cx="314324" cy="314323"/>
    <xdr:pic>
      <xdr:nvPicPr>
        <xdr:cNvPr id="21" name="Graphic 20" descr="Chevron arrows with solid fill">
          <a:extLst>
            <a:ext uri="{FF2B5EF4-FFF2-40B4-BE49-F238E27FC236}">
              <a16:creationId xmlns:a16="http://schemas.microsoft.com/office/drawing/2014/main" id="{7938ADF9-681F-4B1E-BDF5-83BA97BBA2A9}"/>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 uri="{96DAC541-7B7A-43D3-8B79-37D633B846F1}">
              <asvg:svgBlip xmlns:asvg="http://schemas.microsoft.com/office/drawing/2016/SVG/main" r:embed="rId27"/>
            </a:ext>
          </a:extLst>
        </a:blip>
        <a:srcRect/>
        <a:stretch/>
      </xdr:blipFill>
      <xdr:spPr>
        <a:xfrm>
          <a:off x="876300" y="4581525"/>
          <a:ext cx="314324" cy="314323"/>
        </a:xfrm>
        <a:prstGeom prst="rect">
          <a:avLst/>
        </a:prstGeom>
      </xdr:spPr>
    </xdr:pic>
    <xdr:clientData/>
  </xdr:oneCellAnchor>
  <xdr:oneCellAnchor>
    <xdr:from>
      <xdr:col>1</xdr:col>
      <xdr:colOff>84137</xdr:colOff>
      <xdr:row>43</xdr:row>
      <xdr:rowOff>0</xdr:rowOff>
    </xdr:from>
    <xdr:ext cx="408305" cy="408305"/>
    <xdr:pic>
      <xdr:nvPicPr>
        <xdr:cNvPr id="22" name="Graphic 21" descr="Shopping bag with solid fill">
          <a:extLst>
            <a:ext uri="{FF2B5EF4-FFF2-40B4-BE49-F238E27FC236}">
              <a16:creationId xmlns:a16="http://schemas.microsoft.com/office/drawing/2014/main" id="{1007F9B0-B2CF-4E38-991F-EE6E9B711CDF}"/>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 uri="{96DAC541-7B7A-43D3-8B79-37D633B846F1}">
              <asvg:svgBlip xmlns:asvg="http://schemas.microsoft.com/office/drawing/2016/SVG/main" r:embed="rId29"/>
            </a:ext>
          </a:extLst>
        </a:blip>
        <a:srcRect/>
        <a:stretch/>
      </xdr:blipFill>
      <xdr:spPr>
        <a:xfrm>
          <a:off x="655637" y="11134725"/>
          <a:ext cx="408305" cy="408305"/>
        </a:xfrm>
        <a:prstGeom prst="rect">
          <a:avLst/>
        </a:prstGeom>
      </xdr:spPr>
    </xdr:pic>
    <xdr:clientData/>
  </xdr:oneCellAnchor>
  <xdr:oneCellAnchor>
    <xdr:from>
      <xdr:col>7</xdr:col>
      <xdr:colOff>323850</xdr:colOff>
      <xdr:row>13</xdr:row>
      <xdr:rowOff>133350</xdr:rowOff>
    </xdr:from>
    <xdr:ext cx="314324" cy="314324"/>
    <xdr:pic>
      <xdr:nvPicPr>
        <xdr:cNvPr id="23" name="Graphic 22" descr="Chevron arrows with solid fill">
          <a:extLst>
            <a:ext uri="{FF2B5EF4-FFF2-40B4-BE49-F238E27FC236}">
              <a16:creationId xmlns:a16="http://schemas.microsoft.com/office/drawing/2014/main" id="{F5565525-E07A-4F32-87A1-8CC0D93C8059}"/>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 uri="{96DAC541-7B7A-43D3-8B79-37D633B846F1}">
              <asvg:svgBlip xmlns:asvg="http://schemas.microsoft.com/office/drawing/2016/SVG/main" r:embed="rId27"/>
            </a:ext>
          </a:extLst>
        </a:blip>
        <a:srcRect/>
        <a:stretch/>
      </xdr:blipFill>
      <xdr:spPr>
        <a:xfrm>
          <a:off x="5381625" y="4581525"/>
          <a:ext cx="314324" cy="314324"/>
        </a:xfrm>
        <a:prstGeom prst="rect">
          <a:avLst/>
        </a:prstGeom>
      </xdr:spPr>
    </xdr:pic>
    <xdr:clientData/>
  </xdr:oneCellAnchor>
  <xdr:oneCellAnchor>
    <xdr:from>
      <xdr:col>7</xdr:col>
      <xdr:colOff>314325</xdr:colOff>
      <xdr:row>17</xdr:row>
      <xdr:rowOff>47625</xdr:rowOff>
    </xdr:from>
    <xdr:ext cx="314324" cy="314324"/>
    <xdr:pic>
      <xdr:nvPicPr>
        <xdr:cNvPr id="24" name="Graphic 23" descr="Chevron arrows with solid fill">
          <a:extLst>
            <a:ext uri="{FF2B5EF4-FFF2-40B4-BE49-F238E27FC236}">
              <a16:creationId xmlns:a16="http://schemas.microsoft.com/office/drawing/2014/main" id="{3B945C11-AEC0-4B72-AEF9-50467C392C96}"/>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 uri="{96DAC541-7B7A-43D3-8B79-37D633B846F1}">
              <asvg:svgBlip xmlns:asvg="http://schemas.microsoft.com/office/drawing/2016/SVG/main" r:embed="rId27"/>
            </a:ext>
          </a:extLst>
        </a:blip>
        <a:srcRect/>
        <a:stretch/>
      </xdr:blipFill>
      <xdr:spPr>
        <a:xfrm>
          <a:off x="5372100" y="5372100"/>
          <a:ext cx="314324" cy="314324"/>
        </a:xfrm>
        <a:prstGeom prst="rect">
          <a:avLst/>
        </a:prstGeom>
      </xdr:spPr>
    </xdr:pic>
    <xdr:clientData/>
  </xdr:oneCellAnchor>
  <xdr:oneCellAnchor>
    <xdr:from>
      <xdr:col>1</xdr:col>
      <xdr:colOff>90170</xdr:colOff>
      <xdr:row>51</xdr:row>
      <xdr:rowOff>0</xdr:rowOff>
    </xdr:from>
    <xdr:ext cx="410845" cy="410845"/>
    <xdr:pic>
      <xdr:nvPicPr>
        <xdr:cNvPr id="25" name="Graphic 24" descr="Sunglasses with solid fill">
          <a:extLst>
            <a:ext uri="{FF2B5EF4-FFF2-40B4-BE49-F238E27FC236}">
              <a16:creationId xmlns:a16="http://schemas.microsoft.com/office/drawing/2014/main" id="{93DD0CFB-73E2-4400-9FB7-F03550DB533E}"/>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rcRect/>
        <a:stretch/>
      </xdr:blipFill>
      <xdr:spPr>
        <a:xfrm>
          <a:off x="661670" y="13268325"/>
          <a:ext cx="410845" cy="410845"/>
        </a:xfrm>
        <a:prstGeom prst="rect">
          <a:avLst/>
        </a:prstGeom>
      </xdr:spPr>
    </xdr:pic>
    <xdr:clientData/>
  </xdr:oneCellAnchor>
  <xdr:oneCellAnchor>
    <xdr:from>
      <xdr:col>1</xdr:col>
      <xdr:colOff>261936</xdr:colOff>
      <xdr:row>9</xdr:row>
      <xdr:rowOff>566718</xdr:rowOff>
    </xdr:from>
    <xdr:ext cx="426261" cy="426261"/>
    <xdr:pic>
      <xdr:nvPicPr>
        <xdr:cNvPr id="27" name="Graphic 26" descr="Comment Important with solid fill">
          <a:extLst>
            <a:ext uri="{FF2B5EF4-FFF2-40B4-BE49-F238E27FC236}">
              <a16:creationId xmlns:a16="http://schemas.microsoft.com/office/drawing/2014/main" id="{09868A1C-4377-4664-824A-E974B72AB9C8}"/>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rcRect/>
        <a:stretch/>
      </xdr:blipFill>
      <xdr:spPr>
        <a:xfrm>
          <a:off x="833436" y="4138593"/>
          <a:ext cx="426261" cy="42626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95249</xdr:colOff>
      <xdr:row>0</xdr:row>
      <xdr:rowOff>217715</xdr:rowOff>
    </xdr:from>
    <xdr:to>
      <xdr:col>2</xdr:col>
      <xdr:colOff>913984</xdr:colOff>
      <xdr:row>5</xdr:row>
      <xdr:rowOff>149679</xdr:rowOff>
    </xdr:to>
    <xdr:pic>
      <xdr:nvPicPr>
        <xdr:cNvPr id="2" name="Picture 1">
          <a:extLst>
            <a:ext uri="{FF2B5EF4-FFF2-40B4-BE49-F238E27FC236}">
              <a16:creationId xmlns:a16="http://schemas.microsoft.com/office/drawing/2014/main" id="{017D4F36-9C33-4726-AFD2-C479DC7F2147}"/>
            </a:ext>
          </a:extLst>
        </xdr:cNvPr>
        <xdr:cNvPicPr>
          <a:picLocks noChangeAspect="1"/>
        </xdr:cNvPicPr>
      </xdr:nvPicPr>
      <xdr:blipFill>
        <a:blip xmlns:r="http://schemas.openxmlformats.org/officeDocument/2006/relationships" r:embed="rId1"/>
        <a:stretch>
          <a:fillRect/>
        </a:stretch>
      </xdr:blipFill>
      <xdr:spPr>
        <a:xfrm>
          <a:off x="707570" y="217715"/>
          <a:ext cx="2193057" cy="1360714"/>
        </a:xfrm>
        <a:prstGeom prst="rect">
          <a:avLst/>
        </a:prstGeom>
      </xdr:spPr>
    </xdr:pic>
    <xdr:clientData/>
  </xdr:twoCellAnchor>
  <xdr:twoCellAnchor editAs="oneCell">
    <xdr:from>
      <xdr:col>3</xdr:col>
      <xdr:colOff>228600</xdr:colOff>
      <xdr:row>10</xdr:row>
      <xdr:rowOff>267810</xdr:rowOff>
    </xdr:from>
    <xdr:to>
      <xdr:col>3</xdr:col>
      <xdr:colOff>1390650</xdr:colOff>
      <xdr:row>10</xdr:row>
      <xdr:rowOff>1771383</xdr:rowOff>
    </xdr:to>
    <xdr:pic>
      <xdr:nvPicPr>
        <xdr:cNvPr id="4" name="Picture 3">
          <a:extLst>
            <a:ext uri="{FF2B5EF4-FFF2-40B4-BE49-F238E27FC236}">
              <a16:creationId xmlns:a16="http://schemas.microsoft.com/office/drawing/2014/main" id="{660A47F6-C5CC-E158-445A-3B7AB307202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81400" y="6097110"/>
          <a:ext cx="1162050" cy="150357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63500</xdr:colOff>
      <xdr:row>0</xdr:row>
      <xdr:rowOff>50800</xdr:rowOff>
    </xdr:from>
    <xdr:ext cx="1358900" cy="776817"/>
    <xdr:pic>
      <xdr:nvPicPr>
        <xdr:cNvPr id="2" name="Picture 1">
          <a:extLst>
            <a:ext uri="{FF2B5EF4-FFF2-40B4-BE49-F238E27FC236}">
              <a16:creationId xmlns:a16="http://schemas.microsoft.com/office/drawing/2014/main" id="{209098A6-731E-4660-B1AF-A84BD9CDC961}"/>
            </a:ext>
          </a:extLst>
        </xdr:cNvPr>
        <xdr:cNvPicPr>
          <a:picLocks noChangeAspect="1"/>
        </xdr:cNvPicPr>
      </xdr:nvPicPr>
      <xdr:blipFill>
        <a:blip xmlns:r="http://schemas.openxmlformats.org/officeDocument/2006/relationships" r:embed="rId1"/>
        <a:stretch>
          <a:fillRect/>
        </a:stretch>
      </xdr:blipFill>
      <xdr:spPr>
        <a:xfrm>
          <a:off x="196850" y="50800"/>
          <a:ext cx="1358900" cy="776817"/>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190501</xdr:colOff>
      <xdr:row>0</xdr:row>
      <xdr:rowOff>202406</xdr:rowOff>
    </xdr:from>
    <xdr:ext cx="1503836" cy="947629"/>
    <xdr:pic>
      <xdr:nvPicPr>
        <xdr:cNvPr id="2" name="Picture 1">
          <a:extLst>
            <a:ext uri="{FF2B5EF4-FFF2-40B4-BE49-F238E27FC236}">
              <a16:creationId xmlns:a16="http://schemas.microsoft.com/office/drawing/2014/main" id="{C1959872-61DE-4747-949B-3D1D91D423FD}"/>
            </a:ext>
          </a:extLst>
        </xdr:cNvPr>
        <xdr:cNvPicPr>
          <a:picLocks noChangeAspect="1"/>
        </xdr:cNvPicPr>
      </xdr:nvPicPr>
      <xdr:blipFill>
        <a:blip xmlns:r="http://schemas.openxmlformats.org/officeDocument/2006/relationships" r:embed="rId1"/>
        <a:stretch>
          <a:fillRect/>
        </a:stretch>
      </xdr:blipFill>
      <xdr:spPr>
        <a:xfrm>
          <a:off x="523876" y="202406"/>
          <a:ext cx="1503836" cy="947629"/>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47624</xdr:colOff>
      <xdr:row>0</xdr:row>
      <xdr:rowOff>95250</xdr:rowOff>
    </xdr:from>
    <xdr:ext cx="1503836" cy="947629"/>
    <xdr:pic>
      <xdr:nvPicPr>
        <xdr:cNvPr id="2" name="Picture 1">
          <a:extLst>
            <a:ext uri="{FF2B5EF4-FFF2-40B4-BE49-F238E27FC236}">
              <a16:creationId xmlns:a16="http://schemas.microsoft.com/office/drawing/2014/main" id="{6B3E5FB0-9DCF-4A83-B987-0638B20E8034}"/>
            </a:ext>
          </a:extLst>
        </xdr:cNvPr>
        <xdr:cNvPicPr>
          <a:picLocks noChangeAspect="1"/>
        </xdr:cNvPicPr>
      </xdr:nvPicPr>
      <xdr:blipFill>
        <a:blip xmlns:r="http://schemas.openxmlformats.org/officeDocument/2006/relationships" r:embed="rId1"/>
        <a:stretch>
          <a:fillRect/>
        </a:stretch>
      </xdr:blipFill>
      <xdr:spPr>
        <a:xfrm>
          <a:off x="314324" y="95250"/>
          <a:ext cx="1503836" cy="947629"/>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142876</xdr:colOff>
      <xdr:row>0</xdr:row>
      <xdr:rowOff>166688</xdr:rowOff>
    </xdr:from>
    <xdr:to>
      <xdr:col>2</xdr:col>
      <xdr:colOff>103519</xdr:colOff>
      <xdr:row>4</xdr:row>
      <xdr:rowOff>214312</xdr:rowOff>
    </xdr:to>
    <xdr:pic>
      <xdr:nvPicPr>
        <xdr:cNvPr id="3" name="Picture 2">
          <a:extLst>
            <a:ext uri="{FF2B5EF4-FFF2-40B4-BE49-F238E27FC236}">
              <a16:creationId xmlns:a16="http://schemas.microsoft.com/office/drawing/2014/main" id="{A16B4F8C-80ED-4A04-AB4E-46D2C731CAF9}"/>
            </a:ext>
          </a:extLst>
        </xdr:cNvPr>
        <xdr:cNvPicPr>
          <a:picLocks noChangeAspect="1"/>
        </xdr:cNvPicPr>
      </xdr:nvPicPr>
      <xdr:blipFill>
        <a:blip xmlns:r="http://schemas.openxmlformats.org/officeDocument/2006/relationships" r:embed="rId1"/>
        <a:stretch>
          <a:fillRect/>
        </a:stretch>
      </xdr:blipFill>
      <xdr:spPr>
        <a:xfrm>
          <a:off x="726282" y="166688"/>
          <a:ext cx="1889456" cy="11906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3969</xdr:colOff>
      <xdr:row>0</xdr:row>
      <xdr:rowOff>205581</xdr:rowOff>
    </xdr:from>
    <xdr:to>
      <xdr:col>1</xdr:col>
      <xdr:colOff>1354931</xdr:colOff>
      <xdr:row>2</xdr:row>
      <xdr:rowOff>256117</xdr:rowOff>
    </xdr:to>
    <xdr:pic>
      <xdr:nvPicPr>
        <xdr:cNvPr id="2" name="Picture 1">
          <a:extLst>
            <a:ext uri="{FF2B5EF4-FFF2-40B4-BE49-F238E27FC236}">
              <a16:creationId xmlns:a16="http://schemas.microsoft.com/office/drawing/2014/main" id="{D3773EF1-21FC-4CAD-89FD-4643A5F9010F}"/>
            </a:ext>
          </a:extLst>
        </xdr:cNvPr>
        <xdr:cNvPicPr>
          <a:picLocks noChangeAspect="1"/>
        </xdr:cNvPicPr>
      </xdr:nvPicPr>
      <xdr:blipFill>
        <a:blip xmlns:r="http://schemas.openxmlformats.org/officeDocument/2006/relationships" r:embed="rId1"/>
        <a:stretch>
          <a:fillRect/>
        </a:stretch>
      </xdr:blipFill>
      <xdr:spPr>
        <a:xfrm>
          <a:off x="230188" y="205581"/>
          <a:ext cx="1350962" cy="77681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3BA0E-EC92-4835-B8F3-53D5352D4115}">
  <sheetPr>
    <pageSetUpPr fitToPage="1"/>
  </sheetPr>
  <dimension ref="B2:W54"/>
  <sheetViews>
    <sheetView showGridLines="0" showRowColHeaders="0" showRuler="0" zoomScale="80" zoomScaleNormal="80" workbookViewId="0">
      <selection activeCell="F17" sqref="F17"/>
    </sheetView>
  </sheetViews>
  <sheetFormatPr defaultColWidth="8.5546875" defaultRowHeight="13.8" x14ac:dyDescent="0.3"/>
  <cols>
    <col min="1" max="1" width="8.5546875" style="248"/>
    <col min="2" max="3" width="9.77734375" style="248" customWidth="1"/>
    <col min="4" max="4" width="11.5546875" style="248" customWidth="1"/>
    <col min="5" max="5" width="24.109375" style="248" customWidth="1"/>
    <col min="6" max="6" width="10.33203125" style="248" customWidth="1"/>
    <col min="7" max="7" width="1.44140625" style="248" customWidth="1"/>
    <col min="8" max="8" width="9.77734375" style="248" customWidth="1"/>
    <col min="9" max="9" width="11.5546875" style="248" customWidth="1"/>
    <col min="10" max="10" width="12.88671875" style="248" customWidth="1"/>
    <col min="11" max="11" width="12.109375" style="248" customWidth="1"/>
    <col min="12" max="12" width="14.6640625" style="248" customWidth="1"/>
    <col min="13" max="16384" width="8.5546875" style="248"/>
  </cols>
  <sheetData>
    <row r="2" spans="2:23" ht="53.1" customHeight="1" x14ac:dyDescent="0.3">
      <c r="E2" s="454" t="s">
        <v>70</v>
      </c>
      <c r="F2" s="455"/>
      <c r="G2" s="455"/>
      <c r="H2" s="455"/>
      <c r="I2" s="455"/>
    </row>
    <row r="3" spans="2:23" ht="20.100000000000001" customHeight="1" x14ac:dyDescent="0.3"/>
    <row r="4" spans="2:23" ht="7.35" customHeight="1" x14ac:dyDescent="0.3">
      <c r="B4" s="249"/>
      <c r="C4" s="249"/>
      <c r="D4" s="249"/>
      <c r="E4" s="249"/>
      <c r="F4" s="249"/>
      <c r="G4" s="249"/>
      <c r="H4" s="249"/>
      <c r="I4" s="249"/>
      <c r="J4" s="249"/>
      <c r="K4" s="249"/>
      <c r="L4" s="249"/>
    </row>
    <row r="5" spans="2:23" ht="51.9" customHeight="1" x14ac:dyDescent="0.3">
      <c r="B5" s="456" t="s">
        <v>71</v>
      </c>
      <c r="C5" s="456"/>
      <c r="D5" s="456"/>
      <c r="E5" s="456"/>
      <c r="F5" s="456"/>
      <c r="G5" s="456"/>
      <c r="H5" s="456"/>
      <c r="I5" s="456"/>
      <c r="J5" s="456"/>
      <c r="K5" s="456"/>
      <c r="L5" s="456"/>
      <c r="Q5" s="250"/>
      <c r="R5" s="250"/>
      <c r="S5" s="250"/>
      <c r="T5" s="250"/>
      <c r="U5" s="250"/>
      <c r="V5" s="250"/>
    </row>
    <row r="6" spans="2:23" ht="7.5" customHeight="1" x14ac:dyDescent="0.3">
      <c r="B6" s="249"/>
      <c r="C6" s="249"/>
      <c r="D6" s="249"/>
      <c r="E6" s="249"/>
      <c r="F6" s="249"/>
      <c r="G6" s="249"/>
      <c r="H6" s="249"/>
      <c r="I6" s="249"/>
      <c r="J6" s="249"/>
      <c r="K6" s="249"/>
      <c r="L6" s="249"/>
      <c r="Q6" s="250"/>
      <c r="R6" s="250"/>
      <c r="S6" s="250"/>
      <c r="T6" s="250"/>
      <c r="U6" s="250"/>
      <c r="V6" s="250"/>
    </row>
    <row r="7" spans="2:23" ht="29.1" customHeight="1" x14ac:dyDescent="0.45">
      <c r="C7" s="251"/>
      <c r="G7" s="457"/>
    </row>
    <row r="8" spans="2:23" ht="45.75" customHeight="1" x14ac:dyDescent="0.3">
      <c r="C8" s="458" t="s">
        <v>72</v>
      </c>
      <c r="D8" s="458"/>
      <c r="E8" s="458"/>
      <c r="F8" s="458"/>
      <c r="G8" s="457"/>
      <c r="I8" s="458" t="s">
        <v>73</v>
      </c>
      <c r="J8" s="458"/>
      <c r="K8" s="458"/>
      <c r="L8" s="458"/>
      <c r="R8" s="253"/>
      <c r="S8" s="254"/>
      <c r="T8" s="254"/>
      <c r="U8" s="254"/>
      <c r="V8" s="254"/>
      <c r="W8" s="254"/>
    </row>
    <row r="9" spans="2:23" ht="56.25" customHeight="1" x14ac:dyDescent="0.3">
      <c r="C9" s="458" t="s">
        <v>74</v>
      </c>
      <c r="D9" s="458"/>
      <c r="E9" s="458"/>
      <c r="F9" s="458"/>
      <c r="G9" s="457"/>
      <c r="I9" s="458" t="s">
        <v>75</v>
      </c>
      <c r="J9" s="458"/>
      <c r="K9" s="458"/>
      <c r="L9" s="458"/>
      <c r="R9" s="253"/>
      <c r="S9" s="254"/>
      <c r="T9" s="254"/>
      <c r="U9" s="254"/>
      <c r="V9" s="254"/>
      <c r="W9" s="254"/>
    </row>
    <row r="10" spans="2:23" ht="49.5" customHeight="1" x14ac:dyDescent="0.3">
      <c r="C10" s="458" t="s">
        <v>76</v>
      </c>
      <c r="D10" s="458"/>
      <c r="E10" s="458"/>
      <c r="F10" s="458"/>
      <c r="G10" s="457"/>
      <c r="I10" s="458" t="s">
        <v>77</v>
      </c>
      <c r="J10" s="458"/>
      <c r="K10" s="458"/>
      <c r="L10" s="458"/>
      <c r="R10" s="254"/>
      <c r="S10" s="254"/>
      <c r="T10" s="254"/>
      <c r="U10" s="254"/>
      <c r="V10" s="254"/>
      <c r="W10" s="254"/>
    </row>
    <row r="11" spans="2:23" ht="45" customHeight="1" x14ac:dyDescent="0.3">
      <c r="C11" s="459" t="s">
        <v>395</v>
      </c>
      <c r="D11" s="459"/>
      <c r="E11" s="459"/>
      <c r="F11" s="459"/>
      <c r="G11" s="457"/>
      <c r="R11" s="254"/>
      <c r="S11" s="254"/>
      <c r="T11" s="254"/>
      <c r="U11" s="254"/>
      <c r="V11" s="254"/>
      <c r="W11" s="254"/>
    </row>
    <row r="12" spans="2:23" ht="12" customHeight="1" x14ac:dyDescent="0.3">
      <c r="G12" s="457"/>
      <c r="I12" s="255"/>
      <c r="J12" s="255"/>
      <c r="K12" s="255"/>
      <c r="L12" s="255"/>
      <c r="R12" s="254"/>
      <c r="S12" s="254"/>
      <c r="T12" s="254"/>
      <c r="U12" s="254"/>
      <c r="V12" s="254"/>
      <c r="W12" s="254"/>
    </row>
    <row r="13" spans="2:23" ht="7.35" customHeight="1" x14ac:dyDescent="0.3">
      <c r="B13" s="249"/>
      <c r="C13" s="249"/>
      <c r="D13" s="249"/>
      <c r="E13" s="249"/>
      <c r="F13" s="249"/>
      <c r="G13" s="457"/>
      <c r="H13" s="249"/>
      <c r="I13" s="249"/>
      <c r="J13" s="249"/>
      <c r="K13" s="249"/>
      <c r="L13" s="249"/>
    </row>
    <row r="14" spans="2:23" ht="12" customHeight="1" x14ac:dyDescent="0.3">
      <c r="I14" s="255"/>
      <c r="J14" s="255"/>
      <c r="K14" s="255"/>
      <c r="L14" s="255"/>
      <c r="S14" s="256"/>
      <c r="T14" s="256"/>
      <c r="U14" s="256"/>
      <c r="V14" s="256"/>
      <c r="W14" s="256"/>
    </row>
    <row r="15" spans="2:23" ht="21.75" customHeight="1" x14ac:dyDescent="0.3">
      <c r="C15" s="461" t="s">
        <v>358</v>
      </c>
      <c r="D15" s="461"/>
      <c r="E15" s="461"/>
      <c r="F15" s="461"/>
      <c r="I15" s="462" t="s">
        <v>359</v>
      </c>
      <c r="J15" s="462"/>
      <c r="K15" s="462"/>
      <c r="L15" s="462"/>
      <c r="R15" s="256"/>
      <c r="S15" s="256"/>
      <c r="T15" s="256"/>
      <c r="U15" s="256"/>
      <c r="V15" s="256"/>
      <c r="W15" s="256"/>
    </row>
    <row r="16" spans="2:23" ht="21.75" customHeight="1" x14ac:dyDescent="0.3">
      <c r="C16" s="461"/>
      <c r="D16" s="461"/>
      <c r="E16" s="461"/>
      <c r="F16" s="461"/>
      <c r="I16" s="462"/>
      <c r="J16" s="462"/>
      <c r="K16" s="462"/>
      <c r="L16" s="462"/>
      <c r="R16" s="256"/>
      <c r="S16" s="256"/>
      <c r="T16" s="256"/>
      <c r="U16" s="256"/>
      <c r="V16" s="256"/>
      <c r="W16" s="256"/>
    </row>
    <row r="17" spans="2:23" ht="13.5" customHeight="1" x14ac:dyDescent="0.3">
      <c r="C17" s="463" t="s">
        <v>360</v>
      </c>
      <c r="D17" s="464"/>
      <c r="E17" s="465"/>
      <c r="F17" s="257"/>
      <c r="I17" s="257"/>
      <c r="J17" s="257"/>
      <c r="K17" s="257"/>
      <c r="L17" s="257"/>
      <c r="R17" s="256"/>
      <c r="S17" s="256"/>
      <c r="T17" s="256"/>
      <c r="U17" s="256"/>
      <c r="V17" s="256"/>
      <c r="W17" s="256"/>
    </row>
    <row r="18" spans="2:23" ht="13.5" customHeight="1" x14ac:dyDescent="0.3">
      <c r="C18" s="466" t="s">
        <v>361</v>
      </c>
      <c r="D18" s="467"/>
      <c r="E18" s="468"/>
      <c r="F18" s="257"/>
      <c r="I18" s="469" t="s">
        <v>362</v>
      </c>
      <c r="J18" s="470"/>
      <c r="K18" s="470"/>
      <c r="L18" s="470"/>
      <c r="R18" s="256"/>
      <c r="S18" s="256"/>
      <c r="T18" s="256"/>
      <c r="U18" s="256"/>
      <c r="V18" s="256"/>
      <c r="W18" s="256"/>
    </row>
    <row r="19" spans="2:23" ht="13.5" customHeight="1" x14ac:dyDescent="0.3">
      <c r="F19" s="257"/>
      <c r="I19" s="470"/>
      <c r="J19" s="470"/>
      <c r="K19" s="470"/>
      <c r="L19" s="470"/>
    </row>
    <row r="20" spans="2:23" x14ac:dyDescent="0.3">
      <c r="D20" s="252"/>
      <c r="E20" s="252"/>
      <c r="F20" s="257"/>
      <c r="I20" s="470"/>
      <c r="J20" s="470"/>
      <c r="K20" s="470"/>
      <c r="L20" s="470"/>
    </row>
    <row r="21" spans="2:23" ht="15.75" customHeight="1" x14ac:dyDescent="0.3">
      <c r="C21" s="471" t="s">
        <v>363</v>
      </c>
      <c r="D21" s="471"/>
      <c r="E21" s="471"/>
      <c r="F21" s="257"/>
      <c r="I21" s="470"/>
      <c r="J21" s="470"/>
      <c r="K21" s="470"/>
      <c r="L21" s="470"/>
    </row>
    <row r="22" spans="2:23" ht="15.75" customHeight="1" x14ac:dyDescent="0.3">
      <c r="C22" s="472" t="s">
        <v>364</v>
      </c>
      <c r="D22" s="472"/>
      <c r="E22" s="472"/>
      <c r="F22" s="257"/>
      <c r="I22" s="470"/>
      <c r="J22" s="470"/>
      <c r="K22" s="470"/>
      <c r="L22" s="470"/>
    </row>
    <row r="23" spans="2:23" ht="15.75" customHeight="1" x14ac:dyDescent="0.3">
      <c r="C23" s="472" t="s">
        <v>365</v>
      </c>
      <c r="D23" s="472"/>
      <c r="E23" s="472"/>
      <c r="F23" s="255"/>
      <c r="I23" s="470"/>
      <c r="J23" s="470"/>
      <c r="K23" s="470"/>
      <c r="L23" s="470"/>
    </row>
    <row r="24" spans="2:23" ht="15.75" customHeight="1" x14ac:dyDescent="0.3">
      <c r="C24" s="472" t="s">
        <v>366</v>
      </c>
      <c r="D24" s="472"/>
      <c r="E24" s="472"/>
      <c r="F24" s="257"/>
      <c r="I24" s="470"/>
      <c r="J24" s="470"/>
      <c r="K24" s="470"/>
      <c r="L24" s="470"/>
      <c r="O24" s="248" t="s">
        <v>367</v>
      </c>
    </row>
    <row r="25" spans="2:23" ht="15.75" customHeight="1" x14ac:dyDescent="0.3">
      <c r="F25" s="257"/>
      <c r="I25" s="470"/>
      <c r="J25" s="470"/>
      <c r="K25" s="470"/>
      <c r="L25" s="470"/>
    </row>
    <row r="26" spans="2:23" ht="5.25" customHeight="1" x14ac:dyDescent="0.3">
      <c r="C26" s="459"/>
      <c r="D26" s="459"/>
      <c r="E26" s="459"/>
      <c r="F26" s="459"/>
      <c r="I26" s="257"/>
      <c r="J26" s="257"/>
      <c r="K26" s="257"/>
      <c r="L26" s="257"/>
    </row>
    <row r="27" spans="2:23" ht="5.25" customHeight="1" x14ac:dyDescent="0.3">
      <c r="C27" s="459"/>
      <c r="D27" s="459"/>
      <c r="E27" s="459"/>
      <c r="F27" s="459"/>
      <c r="I27" s="257"/>
      <c r="J27" s="257"/>
      <c r="K27" s="257"/>
      <c r="L27" s="257"/>
    </row>
    <row r="28" spans="2:23" ht="5.25" customHeight="1" x14ac:dyDescent="0.3">
      <c r="C28" s="459"/>
      <c r="D28" s="459"/>
      <c r="E28" s="459"/>
      <c r="F28" s="459"/>
    </row>
    <row r="29" spans="2:23" ht="7.35" customHeight="1" x14ac:dyDescent="0.3">
      <c r="B29" s="249"/>
      <c r="C29" s="249"/>
      <c r="D29" s="249"/>
      <c r="E29" s="249"/>
      <c r="F29" s="249"/>
      <c r="G29" s="249"/>
      <c r="H29" s="249"/>
      <c r="I29" s="249"/>
      <c r="J29" s="249"/>
      <c r="K29" s="249"/>
      <c r="L29" s="249"/>
    </row>
    <row r="30" spans="2:23" ht="21.6" customHeight="1" x14ac:dyDescent="0.4">
      <c r="B30" s="258" t="s">
        <v>78</v>
      </c>
    </row>
    <row r="31" spans="2:23" s="259" customFormat="1" ht="7.95" customHeight="1" x14ac:dyDescent="0.35"/>
    <row r="32" spans="2:23" s="259" customFormat="1" ht="33.75" customHeight="1" thickBot="1" x14ac:dyDescent="0.4">
      <c r="C32" s="260" t="s">
        <v>79</v>
      </c>
      <c r="D32" s="261"/>
      <c r="E32" s="261"/>
      <c r="F32" s="473" t="s">
        <v>80</v>
      </c>
      <c r="G32" s="473"/>
      <c r="H32" s="473"/>
      <c r="I32" s="473"/>
      <c r="J32" s="473"/>
      <c r="K32" s="473"/>
      <c r="L32" s="473"/>
    </row>
    <row r="33" spans="3:12" s="259" customFormat="1" ht="7.95" customHeight="1" x14ac:dyDescent="0.35">
      <c r="C33" s="262"/>
      <c r="H33" s="263"/>
      <c r="I33" s="263"/>
      <c r="J33" s="263"/>
      <c r="K33" s="263"/>
      <c r="L33" s="263"/>
    </row>
    <row r="34" spans="3:12" s="259" customFormat="1" ht="33.75" customHeight="1" thickBot="1" x14ac:dyDescent="0.4">
      <c r="C34" s="260" t="s">
        <v>81</v>
      </c>
      <c r="D34" s="261"/>
      <c r="E34" s="261"/>
      <c r="F34" s="474" t="s">
        <v>368</v>
      </c>
      <c r="G34" s="474"/>
      <c r="H34" s="474"/>
      <c r="I34" s="474"/>
      <c r="J34" s="474"/>
      <c r="K34" s="474"/>
      <c r="L34" s="474"/>
    </row>
    <row r="35" spans="3:12" s="259" customFormat="1" ht="7.95" customHeight="1" x14ac:dyDescent="0.35">
      <c r="C35" s="460"/>
      <c r="D35" s="460"/>
      <c r="E35" s="460"/>
      <c r="F35" s="460"/>
      <c r="G35" s="460"/>
      <c r="H35" s="460"/>
      <c r="I35" s="460"/>
      <c r="J35" s="460"/>
      <c r="K35" s="460"/>
      <c r="L35" s="460"/>
    </row>
    <row r="36" spans="3:12" s="259" customFormat="1" ht="32.1" customHeight="1" thickBot="1" x14ac:dyDescent="0.4">
      <c r="C36" s="475" t="s">
        <v>369</v>
      </c>
      <c r="D36" s="476"/>
      <c r="E36" s="476"/>
      <c r="F36" s="474" t="s">
        <v>82</v>
      </c>
      <c r="G36" s="474"/>
      <c r="H36" s="474"/>
      <c r="I36" s="474"/>
      <c r="J36" s="474"/>
      <c r="K36" s="474"/>
      <c r="L36" s="474"/>
    </row>
    <row r="37" spans="3:12" s="259" customFormat="1" ht="7.95" customHeight="1" x14ac:dyDescent="0.35">
      <c r="C37" s="460"/>
      <c r="D37" s="460"/>
      <c r="E37" s="460"/>
      <c r="F37" s="460"/>
      <c r="G37" s="460"/>
      <c r="H37" s="460"/>
      <c r="I37" s="460"/>
      <c r="J37" s="460"/>
      <c r="K37" s="460"/>
      <c r="L37" s="460"/>
    </row>
    <row r="38" spans="3:12" s="259" customFormat="1" ht="38.4" customHeight="1" thickBot="1" x14ac:dyDescent="0.4">
      <c r="C38" s="479" t="s">
        <v>370</v>
      </c>
      <c r="D38" s="478"/>
      <c r="E38" s="478"/>
      <c r="F38" s="474" t="s">
        <v>371</v>
      </c>
      <c r="G38" s="474"/>
      <c r="H38" s="474"/>
      <c r="I38" s="474"/>
      <c r="J38" s="474"/>
      <c r="K38" s="474"/>
      <c r="L38" s="474"/>
    </row>
    <row r="39" spans="3:12" s="259" customFormat="1" ht="7.95" customHeight="1" x14ac:dyDescent="0.35">
      <c r="C39" s="460"/>
      <c r="D39" s="460"/>
      <c r="E39" s="460"/>
      <c r="F39" s="460"/>
      <c r="G39" s="460"/>
      <c r="H39" s="460"/>
      <c r="I39" s="460"/>
      <c r="J39" s="460"/>
      <c r="K39" s="460"/>
      <c r="L39" s="460"/>
    </row>
    <row r="40" spans="3:12" s="259" customFormat="1" ht="33.75" customHeight="1" thickBot="1" x14ac:dyDescent="0.4">
      <c r="C40" s="260" t="s">
        <v>83</v>
      </c>
      <c r="D40" s="261"/>
      <c r="E40" s="261"/>
      <c r="F40" s="474" t="s">
        <v>372</v>
      </c>
      <c r="G40" s="474"/>
      <c r="H40" s="474"/>
      <c r="I40" s="474"/>
      <c r="J40" s="474"/>
      <c r="K40" s="474"/>
      <c r="L40" s="474"/>
    </row>
    <row r="41" spans="3:12" s="259" customFormat="1" ht="7.95" customHeight="1" x14ac:dyDescent="0.35">
      <c r="C41" s="480"/>
      <c r="D41" s="480"/>
      <c r="E41" s="480"/>
      <c r="F41" s="480"/>
      <c r="G41" s="480"/>
      <c r="H41" s="480"/>
      <c r="I41" s="480"/>
      <c r="J41" s="480"/>
      <c r="K41" s="480"/>
      <c r="L41" s="480"/>
    </row>
    <row r="42" spans="3:12" s="259" customFormat="1" ht="33.75" customHeight="1" thickBot="1" x14ac:dyDescent="0.4">
      <c r="C42" s="260" t="s">
        <v>84</v>
      </c>
      <c r="D42" s="261"/>
      <c r="E42" s="261"/>
      <c r="F42" s="473" t="s">
        <v>373</v>
      </c>
      <c r="G42" s="473"/>
      <c r="H42" s="473"/>
      <c r="I42" s="473"/>
      <c r="J42" s="473"/>
      <c r="K42" s="473"/>
      <c r="L42" s="473"/>
    </row>
    <row r="43" spans="3:12" s="259" customFormat="1" ht="8.85" customHeight="1" x14ac:dyDescent="0.35">
      <c r="C43" s="262"/>
      <c r="H43" s="263"/>
      <c r="I43" s="263"/>
      <c r="J43" s="263"/>
      <c r="K43" s="263"/>
      <c r="L43" s="263"/>
    </row>
    <row r="44" spans="3:12" s="259" customFormat="1" ht="33.75" customHeight="1" thickBot="1" x14ac:dyDescent="0.4">
      <c r="C44" s="260" t="s">
        <v>374</v>
      </c>
      <c r="D44" s="264"/>
      <c r="E44" s="264"/>
      <c r="F44" s="473" t="s">
        <v>375</v>
      </c>
      <c r="G44" s="473"/>
      <c r="H44" s="473"/>
      <c r="I44" s="473"/>
      <c r="J44" s="473"/>
      <c r="K44" s="473"/>
      <c r="L44" s="473"/>
    </row>
    <row r="45" spans="3:12" s="259" customFormat="1" ht="7.95" customHeight="1" x14ac:dyDescent="0.35">
      <c r="C45" s="262"/>
      <c r="H45" s="263"/>
      <c r="I45" s="263"/>
      <c r="J45" s="263"/>
      <c r="K45" s="263"/>
      <c r="L45" s="263"/>
    </row>
    <row r="46" spans="3:12" s="259" customFormat="1" ht="33.75" customHeight="1" thickBot="1" x14ac:dyDescent="0.4">
      <c r="C46" s="260" t="s">
        <v>85</v>
      </c>
      <c r="D46" s="264"/>
      <c r="E46" s="264"/>
      <c r="F46" s="473" t="s">
        <v>376</v>
      </c>
      <c r="G46" s="473"/>
      <c r="H46" s="473"/>
      <c r="I46" s="473"/>
      <c r="J46" s="473"/>
      <c r="K46" s="473"/>
      <c r="L46" s="473"/>
    </row>
    <row r="47" spans="3:12" s="259" customFormat="1" ht="7.95" customHeight="1" x14ac:dyDescent="0.35">
      <c r="C47" s="262"/>
      <c r="H47" s="263"/>
      <c r="I47" s="263"/>
      <c r="J47" s="263"/>
      <c r="K47" s="263"/>
      <c r="L47" s="263"/>
    </row>
    <row r="48" spans="3:12" s="259" customFormat="1" ht="33.75" customHeight="1" thickBot="1" x14ac:dyDescent="0.4">
      <c r="C48" s="260" t="s">
        <v>86</v>
      </c>
      <c r="D48" s="264"/>
      <c r="E48" s="264"/>
      <c r="F48" s="473" t="s">
        <v>377</v>
      </c>
      <c r="G48" s="473"/>
      <c r="H48" s="473"/>
      <c r="I48" s="473"/>
      <c r="J48" s="473"/>
      <c r="K48" s="473"/>
      <c r="L48" s="473"/>
    </row>
    <row r="49" spans="2:12" s="259" customFormat="1" ht="7.95" customHeight="1" x14ac:dyDescent="0.35">
      <c r="C49" s="262"/>
      <c r="D49" s="248"/>
      <c r="E49" s="248"/>
      <c r="F49" s="265"/>
      <c r="H49" s="263"/>
      <c r="I49" s="263"/>
      <c r="J49" s="263"/>
      <c r="K49" s="263"/>
      <c r="L49" s="263"/>
    </row>
    <row r="50" spans="2:12" ht="33.75" customHeight="1" thickBot="1" x14ac:dyDescent="0.4">
      <c r="C50" s="477" t="s">
        <v>87</v>
      </c>
      <c r="D50" s="478"/>
      <c r="E50" s="478"/>
      <c r="F50" s="474" t="s">
        <v>378</v>
      </c>
      <c r="G50" s="474"/>
      <c r="H50" s="474"/>
      <c r="I50" s="474"/>
      <c r="J50" s="474"/>
      <c r="K50" s="474"/>
      <c r="L50" s="474"/>
    </row>
    <row r="51" spans="2:12" ht="11.1" customHeight="1" x14ac:dyDescent="0.35">
      <c r="C51" s="266"/>
      <c r="D51" s="252"/>
      <c r="E51" s="252"/>
      <c r="F51" s="265"/>
      <c r="G51" s="259"/>
      <c r="H51" s="263"/>
      <c r="I51" s="263"/>
      <c r="J51" s="263"/>
      <c r="K51" s="263"/>
      <c r="L51" s="263"/>
    </row>
    <row r="52" spans="2:12" ht="33.75" customHeight="1" thickBot="1" x14ac:dyDescent="0.4">
      <c r="C52" s="477" t="s">
        <v>379</v>
      </c>
      <c r="D52" s="478"/>
      <c r="E52" s="478"/>
      <c r="F52" s="474" t="s">
        <v>380</v>
      </c>
      <c r="G52" s="474"/>
      <c r="H52" s="474"/>
      <c r="I52" s="474"/>
      <c r="J52" s="474"/>
      <c r="K52" s="474"/>
      <c r="L52" s="474"/>
    </row>
    <row r="53" spans="2:12" ht="11.1" customHeight="1" x14ac:dyDescent="0.35">
      <c r="C53" s="266"/>
      <c r="D53" s="252"/>
      <c r="E53" s="252"/>
      <c r="F53" s="265"/>
      <c r="G53" s="259"/>
      <c r="H53" s="263"/>
      <c r="I53" s="263"/>
      <c r="J53" s="263"/>
      <c r="K53" s="263"/>
      <c r="L53" s="263"/>
    </row>
    <row r="54" spans="2:12" ht="7.35" customHeight="1" x14ac:dyDescent="0.3">
      <c r="B54" s="267"/>
      <c r="C54" s="267"/>
      <c r="D54" s="267"/>
      <c r="E54" s="267"/>
      <c r="F54" s="267"/>
      <c r="G54" s="267"/>
      <c r="H54" s="267"/>
      <c r="I54" s="267"/>
      <c r="J54" s="267"/>
      <c r="K54" s="267"/>
      <c r="L54" s="267"/>
    </row>
  </sheetData>
  <sheetProtection algorithmName="SHA-512" hashValue="4sCOQu4WX28PCPMqEQFIekGU65D/26vYARPsQhx980PwImPQols632ddCpEN6bc6+oyFq+ILkMuNqOBUoZ3gwA==" saltValue="8+pqEDoFDRG3AJsG4eXO7w==" spinCount="100000" sheet="1" objects="1" scenarios="1"/>
  <mergeCells count="39">
    <mergeCell ref="C52:E52"/>
    <mergeCell ref="F52:L52"/>
    <mergeCell ref="C38:E38"/>
    <mergeCell ref="F38:L38"/>
    <mergeCell ref="C39:L39"/>
    <mergeCell ref="F40:L40"/>
    <mergeCell ref="C41:L41"/>
    <mergeCell ref="F42:L42"/>
    <mergeCell ref="F44:L44"/>
    <mergeCell ref="F46:L46"/>
    <mergeCell ref="F48:L48"/>
    <mergeCell ref="C50:E50"/>
    <mergeCell ref="F50:L50"/>
    <mergeCell ref="C37:L37"/>
    <mergeCell ref="C15:F16"/>
    <mergeCell ref="I15:L16"/>
    <mergeCell ref="C17:E17"/>
    <mergeCell ref="C18:E18"/>
    <mergeCell ref="I18:L25"/>
    <mergeCell ref="C21:E21"/>
    <mergeCell ref="C22:E22"/>
    <mergeCell ref="C23:E23"/>
    <mergeCell ref="C24:E24"/>
    <mergeCell ref="F32:L32"/>
    <mergeCell ref="F34:L34"/>
    <mergeCell ref="C35:L35"/>
    <mergeCell ref="C36:E36"/>
    <mergeCell ref="F36:L36"/>
    <mergeCell ref="C26:F28"/>
    <mergeCell ref="E2:I2"/>
    <mergeCell ref="B5:L5"/>
    <mergeCell ref="G7:G13"/>
    <mergeCell ref="C8:F8"/>
    <mergeCell ref="I8:L8"/>
    <mergeCell ref="C9:F9"/>
    <mergeCell ref="I9:L9"/>
    <mergeCell ref="C10:F10"/>
    <mergeCell ref="I10:L10"/>
    <mergeCell ref="C11:F11"/>
  </mergeCells>
  <dataValidations count="1">
    <dataValidation type="textLength" operator="lessThan" allowBlank="1" showInputMessage="1" showErrorMessage="1" sqref="B30" xr:uid="{90CAE85D-0C1E-4EC1-BCFB-E66B33DB82B7}">
      <formula1>0</formula1>
    </dataValidation>
  </dataValidations>
  <pageMargins left="0.5" right="0.5" top="0.5" bottom="0.5" header="0" footer="0"/>
  <pageSetup scale="6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B1:BA60"/>
  <sheetViews>
    <sheetView showGridLines="0" tabSelected="1" view="pageBreakPreview" zoomScale="50" zoomScaleNormal="70" zoomScaleSheetLayoutView="50" workbookViewId="0">
      <pane xSplit="5" ySplit="10" topLeftCell="L11" activePane="bottomRight" state="frozen"/>
      <selection pane="topRight" activeCell="F1" sqref="F1"/>
      <selection pane="bottomLeft" activeCell="A11" sqref="A11"/>
      <selection pane="bottomRight" activeCell="E1" sqref="E1"/>
    </sheetView>
  </sheetViews>
  <sheetFormatPr defaultColWidth="9.109375" defaultRowHeight="15" x14ac:dyDescent="0.35"/>
  <cols>
    <col min="1" max="1" width="9.109375" style="4"/>
    <col min="2" max="3" width="20.5546875" style="4" customWidth="1"/>
    <col min="4" max="4" width="23.21875" style="4" customWidth="1"/>
    <col min="5" max="5" width="35.88671875" style="4" customWidth="1"/>
    <col min="6" max="13" width="20.21875" style="4" customWidth="1"/>
    <col min="14" max="14" width="26.6640625" style="4" customWidth="1"/>
    <col min="15" max="18" width="31.33203125" style="4" customWidth="1"/>
    <col min="19" max="19" width="35.5546875" style="4" customWidth="1"/>
    <col min="20" max="20" width="27.6640625" style="4" customWidth="1"/>
    <col min="21" max="24" width="27.21875" style="4" customWidth="1"/>
    <col min="25" max="26" width="26.21875" style="4" customWidth="1"/>
    <col min="27" max="27" width="25.33203125" style="4" customWidth="1"/>
    <col min="28" max="28" width="26.77734375" style="4" customWidth="1"/>
    <col min="29" max="29" width="17.44140625" style="4" customWidth="1"/>
    <col min="30" max="30" width="16.21875" style="4" customWidth="1"/>
    <col min="31" max="31" width="44" style="4" customWidth="1"/>
    <col min="32" max="32" width="30.77734375" style="4" bestFit="1" customWidth="1"/>
    <col min="33" max="33" width="23.77734375" style="4" customWidth="1"/>
    <col min="34" max="34" width="43" style="4" customWidth="1"/>
    <col min="35" max="35" width="46.5546875" style="4" customWidth="1"/>
    <col min="36" max="38" width="29.33203125" style="4" customWidth="1"/>
    <col min="39" max="39" width="36.44140625" style="4" customWidth="1"/>
    <col min="40" max="40" width="36.6640625" style="4" customWidth="1"/>
    <col min="41" max="42" width="20.88671875" style="4" customWidth="1"/>
    <col min="43" max="45" width="29.77734375" style="4" customWidth="1"/>
    <col min="46" max="49" width="22.77734375" style="4" customWidth="1"/>
    <col min="50" max="50" width="26.109375" style="4" customWidth="1"/>
    <col min="51" max="51" width="22.33203125" style="4" customWidth="1"/>
    <col min="52" max="52" width="37.21875" style="4" customWidth="1"/>
    <col min="53" max="53" width="21.5546875" style="4" bestFit="1" customWidth="1"/>
    <col min="54" max="16384" width="9.109375" style="4"/>
  </cols>
  <sheetData>
    <row r="1" spans="2:53" ht="23.1" customHeight="1" x14ac:dyDescent="0.35">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row>
    <row r="2" spans="2:53" ht="23.1" customHeight="1" x14ac:dyDescent="0.35">
      <c r="C2" s="28"/>
      <c r="D2" s="28"/>
      <c r="E2" s="28"/>
      <c r="F2" s="30" t="s">
        <v>0</v>
      </c>
      <c r="G2" s="30"/>
      <c r="H2" s="30"/>
      <c r="I2" s="30"/>
      <c r="J2" s="30"/>
      <c r="K2" s="30"/>
      <c r="L2" s="30"/>
      <c r="M2" s="30"/>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row>
    <row r="3" spans="2:53" ht="23.1" customHeight="1" x14ac:dyDescent="0.35">
      <c r="C3" s="29"/>
      <c r="D3" s="29"/>
      <c r="E3" s="29"/>
      <c r="F3" s="32" t="s">
        <v>1</v>
      </c>
      <c r="G3" s="31"/>
      <c r="H3" s="31"/>
      <c r="I3" s="31"/>
      <c r="J3" s="31"/>
      <c r="K3" s="31"/>
      <c r="L3" s="31"/>
      <c r="M3" s="31"/>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row>
    <row r="4" spans="2:53" ht="23.1" customHeight="1" x14ac:dyDescent="0.35">
      <c r="B4" s="18"/>
      <c r="C4" s="18"/>
      <c r="D4" s="18"/>
      <c r="E4" s="18"/>
      <c r="G4" s="18"/>
      <c r="H4" s="18"/>
      <c r="I4" s="18"/>
      <c r="J4" s="18"/>
      <c r="K4" s="18"/>
      <c r="L4" s="18"/>
      <c r="M4" s="18"/>
      <c r="N4" s="18"/>
      <c r="O4" s="18"/>
      <c r="P4" s="18" t="s">
        <v>367</v>
      </c>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row>
    <row r="5" spans="2:53" ht="23.1" customHeight="1" x14ac:dyDescent="0.35">
      <c r="B5" s="18"/>
      <c r="C5" s="18"/>
      <c r="D5" s="18"/>
      <c r="E5" s="18"/>
      <c r="F5" s="194" t="s">
        <v>390</v>
      </c>
      <c r="G5" s="32"/>
      <c r="H5" s="32"/>
      <c r="I5" s="32"/>
      <c r="J5" s="32"/>
      <c r="K5" s="32"/>
      <c r="L5" s="32"/>
      <c r="M5" s="32"/>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row>
    <row r="6" spans="2:53" ht="23.1" customHeight="1" thickBot="1" x14ac:dyDescent="0.4">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row>
    <row r="7" spans="2:53" ht="61.5" customHeight="1" thickBot="1" x14ac:dyDescent="0.4">
      <c r="B7" s="497" t="s">
        <v>384</v>
      </c>
      <c r="C7" s="498"/>
      <c r="D7" s="498"/>
      <c r="E7" s="498"/>
      <c r="F7" s="498"/>
      <c r="G7" s="498"/>
      <c r="H7" s="498"/>
      <c r="I7" s="498"/>
      <c r="J7" s="499"/>
      <c r="K7" s="491" t="s">
        <v>334</v>
      </c>
      <c r="L7" s="492"/>
      <c r="M7" s="493"/>
      <c r="N7" s="497" t="s">
        <v>2</v>
      </c>
      <c r="O7" s="498"/>
      <c r="P7" s="498"/>
      <c r="Q7" s="498"/>
      <c r="R7" s="499"/>
      <c r="S7" s="509" t="s">
        <v>349</v>
      </c>
      <c r="T7" s="510"/>
      <c r="U7" s="510"/>
      <c r="V7" s="510"/>
      <c r="W7" s="510"/>
      <c r="X7" s="510"/>
      <c r="Y7" s="510"/>
      <c r="Z7" s="510"/>
      <c r="AA7" s="510"/>
      <c r="AB7" s="510"/>
      <c r="AC7" s="510"/>
      <c r="AD7" s="510"/>
      <c r="AE7" s="506" t="s">
        <v>3</v>
      </c>
      <c r="AF7" s="507"/>
      <c r="AG7" s="507"/>
      <c r="AH7" s="507"/>
      <c r="AI7" s="507"/>
      <c r="AJ7" s="507"/>
      <c r="AK7" s="507"/>
      <c r="AL7" s="507"/>
      <c r="AM7" s="507"/>
      <c r="AN7" s="507"/>
      <c r="AO7" s="507"/>
      <c r="AP7" s="507"/>
      <c r="AQ7" s="507"/>
      <c r="AR7" s="507"/>
      <c r="AS7" s="507"/>
      <c r="AT7" s="507"/>
      <c r="AU7" s="507"/>
      <c r="AV7" s="507"/>
      <c r="AW7" s="508"/>
      <c r="AX7" s="500" t="s">
        <v>2</v>
      </c>
      <c r="AY7" s="501"/>
      <c r="AZ7" s="501"/>
      <c r="BA7" s="502"/>
    </row>
    <row r="8" spans="2:53" s="71" customFormat="1" ht="59.25" customHeight="1" thickBot="1" x14ac:dyDescent="0.4">
      <c r="B8" s="204"/>
      <c r="C8" s="205"/>
      <c r="D8" s="205"/>
      <c r="E8" s="205"/>
      <c r="F8" s="488" t="s">
        <v>333</v>
      </c>
      <c r="G8" s="489"/>
      <c r="H8" s="489"/>
      <c r="I8" s="490"/>
      <c r="J8" s="205"/>
      <c r="K8" s="494"/>
      <c r="L8" s="495"/>
      <c r="M8" s="496"/>
      <c r="N8" s="514"/>
      <c r="O8" s="515"/>
      <c r="P8" s="515"/>
      <c r="Q8" s="515"/>
      <c r="R8" s="516"/>
      <c r="S8" s="229" t="s">
        <v>4</v>
      </c>
      <c r="T8" s="232" t="s">
        <v>5</v>
      </c>
      <c r="U8" s="233" t="s">
        <v>6</v>
      </c>
      <c r="V8" s="511" t="s">
        <v>388</v>
      </c>
      <c r="W8" s="513"/>
      <c r="X8" s="512"/>
      <c r="Y8" s="232" t="s">
        <v>7</v>
      </c>
      <c r="Z8" s="233" t="s">
        <v>8</v>
      </c>
      <c r="AA8" s="511" t="s">
        <v>9</v>
      </c>
      <c r="AB8" s="512"/>
      <c r="AC8" s="513" t="s">
        <v>10</v>
      </c>
      <c r="AD8" s="512"/>
      <c r="AE8" s="198" t="s">
        <v>16</v>
      </c>
      <c r="AF8" s="206" t="s">
        <v>13</v>
      </c>
      <c r="AG8" s="483" t="s">
        <v>12</v>
      </c>
      <c r="AH8" s="485"/>
      <c r="AI8" s="206" t="s">
        <v>19</v>
      </c>
      <c r="AJ8" s="483" t="s">
        <v>15</v>
      </c>
      <c r="AK8" s="484"/>
      <c r="AL8" s="485"/>
      <c r="AM8" s="206" t="s">
        <v>17</v>
      </c>
      <c r="AN8" s="206" t="s">
        <v>232</v>
      </c>
      <c r="AO8" s="483" t="s">
        <v>11</v>
      </c>
      <c r="AP8" s="484"/>
      <c r="AQ8" s="484"/>
      <c r="AR8" s="484"/>
      <c r="AS8" s="485"/>
      <c r="AT8" s="483" t="s">
        <v>18</v>
      </c>
      <c r="AU8" s="484"/>
      <c r="AV8" s="484"/>
      <c r="AW8" s="485"/>
      <c r="AX8" s="503"/>
      <c r="AY8" s="504"/>
      <c r="AZ8" s="504"/>
      <c r="BA8" s="505"/>
    </row>
    <row r="9" spans="2:53" s="42" customFormat="1" ht="153.75" customHeight="1" x14ac:dyDescent="0.3">
      <c r="B9" s="20" t="s">
        <v>20</v>
      </c>
      <c r="C9" s="21" t="s">
        <v>59</v>
      </c>
      <c r="D9" s="21" t="s">
        <v>21</v>
      </c>
      <c r="E9" s="21" t="s">
        <v>178</v>
      </c>
      <c r="F9" s="50" t="s">
        <v>327</v>
      </c>
      <c r="G9" s="52" t="s">
        <v>328</v>
      </c>
      <c r="H9" s="52" t="s">
        <v>329</v>
      </c>
      <c r="I9" s="53" t="s">
        <v>271</v>
      </c>
      <c r="J9" s="195" t="s">
        <v>186</v>
      </c>
      <c r="K9" s="73" t="s">
        <v>323</v>
      </c>
      <c r="L9" s="207" t="s">
        <v>341</v>
      </c>
      <c r="M9" s="53" t="s">
        <v>324</v>
      </c>
      <c r="N9" s="21" t="s">
        <v>24</v>
      </c>
      <c r="O9" s="22" t="s">
        <v>187</v>
      </c>
      <c r="P9" s="436" t="s">
        <v>391</v>
      </c>
      <c r="Q9" s="444" t="s">
        <v>392</v>
      </c>
      <c r="R9" s="381" t="s">
        <v>203</v>
      </c>
      <c r="S9" s="230" t="s">
        <v>189</v>
      </c>
      <c r="T9" s="35" t="s">
        <v>190</v>
      </c>
      <c r="U9" s="17" t="s">
        <v>191</v>
      </c>
      <c r="V9" s="425" t="s">
        <v>385</v>
      </c>
      <c r="W9" s="426" t="s">
        <v>386</v>
      </c>
      <c r="X9" s="427" t="s">
        <v>387</v>
      </c>
      <c r="Y9" s="38" t="s">
        <v>192</v>
      </c>
      <c r="Z9" s="271" t="s">
        <v>194</v>
      </c>
      <c r="AA9" s="230" t="s">
        <v>193</v>
      </c>
      <c r="AB9" s="225" t="s">
        <v>195</v>
      </c>
      <c r="AC9" s="203" t="s">
        <v>179</v>
      </c>
      <c r="AD9" s="190" t="s">
        <v>180</v>
      </c>
      <c r="AE9" s="226" t="s">
        <v>206</v>
      </c>
      <c r="AF9" s="38" t="s">
        <v>208</v>
      </c>
      <c r="AG9" s="224" t="s">
        <v>209</v>
      </c>
      <c r="AH9" s="43" t="s">
        <v>210</v>
      </c>
      <c r="AI9" s="38" t="s">
        <v>207</v>
      </c>
      <c r="AJ9" s="224" t="s">
        <v>348</v>
      </c>
      <c r="AK9" s="227" t="s">
        <v>346</v>
      </c>
      <c r="AL9" s="228" t="s">
        <v>347</v>
      </c>
      <c r="AM9" s="38" t="s">
        <v>22</v>
      </c>
      <c r="AN9" s="38" t="s">
        <v>233</v>
      </c>
      <c r="AO9" s="481" t="s">
        <v>355</v>
      </c>
      <c r="AP9" s="482"/>
      <c r="AQ9" s="482"/>
      <c r="AR9" s="486" t="s">
        <v>356</v>
      </c>
      <c r="AS9" s="487"/>
      <c r="AT9" s="268" t="s">
        <v>339</v>
      </c>
      <c r="AU9" s="269" t="s">
        <v>340</v>
      </c>
      <c r="AV9" s="269" t="s">
        <v>337</v>
      </c>
      <c r="AW9" s="270" t="s">
        <v>338</v>
      </c>
      <c r="AX9" s="203" t="s">
        <v>319</v>
      </c>
      <c r="AY9" s="17" t="s">
        <v>320</v>
      </c>
      <c r="AZ9" s="52" t="s">
        <v>342</v>
      </c>
      <c r="BA9" s="53" t="s">
        <v>23</v>
      </c>
    </row>
    <row r="10" spans="2:53" s="42" customFormat="1" ht="45.6" thickBot="1" x14ac:dyDescent="0.35">
      <c r="B10" s="23" t="s">
        <v>383</v>
      </c>
      <c r="C10" s="24"/>
      <c r="D10" s="24"/>
      <c r="E10" s="24"/>
      <c r="F10" s="192" t="s">
        <v>330</v>
      </c>
      <c r="G10" s="193" t="s">
        <v>331</v>
      </c>
      <c r="H10" s="193" t="s">
        <v>332</v>
      </c>
      <c r="I10" s="197"/>
      <c r="J10" s="196"/>
      <c r="K10" s="208" t="s">
        <v>325</v>
      </c>
      <c r="L10" s="69"/>
      <c r="M10" s="209" t="s">
        <v>326</v>
      </c>
      <c r="N10" s="24" t="s">
        <v>188</v>
      </c>
      <c r="O10" s="25"/>
      <c r="P10" s="429" t="s">
        <v>188</v>
      </c>
      <c r="Q10" s="445" t="s">
        <v>254</v>
      </c>
      <c r="R10" s="209" t="s">
        <v>202</v>
      </c>
      <c r="S10" s="208" t="s">
        <v>188</v>
      </c>
      <c r="T10" s="191" t="s">
        <v>188</v>
      </c>
      <c r="U10" s="231" t="s">
        <v>188</v>
      </c>
      <c r="V10" s="428" t="s">
        <v>188</v>
      </c>
      <c r="W10" s="429" t="s">
        <v>254</v>
      </c>
      <c r="X10" s="422" t="s">
        <v>254</v>
      </c>
      <c r="Y10" s="191" t="s">
        <v>188</v>
      </c>
      <c r="Z10" s="199"/>
      <c r="AA10" s="208" t="s">
        <v>188</v>
      </c>
      <c r="AB10" s="26" t="s">
        <v>188</v>
      </c>
      <c r="AC10" s="210"/>
      <c r="AD10" s="34" t="s">
        <v>196</v>
      </c>
      <c r="AE10" s="234" t="s">
        <v>205</v>
      </c>
      <c r="AF10" s="36" t="s">
        <v>204</v>
      </c>
      <c r="AG10" s="37" t="s">
        <v>188</v>
      </c>
      <c r="AH10" s="34" t="s">
        <v>254</v>
      </c>
      <c r="AI10" s="36"/>
      <c r="AJ10" s="223" t="s">
        <v>188</v>
      </c>
      <c r="AK10" s="33" t="s">
        <v>188</v>
      </c>
      <c r="AL10" s="271" t="s">
        <v>188</v>
      </c>
      <c r="AM10" s="36" t="s">
        <v>381</v>
      </c>
      <c r="AN10" s="36" t="s">
        <v>188</v>
      </c>
      <c r="AO10" s="37" t="s">
        <v>335</v>
      </c>
      <c r="AP10" s="199" t="s">
        <v>350</v>
      </c>
      <c r="AQ10" s="199" t="s">
        <v>336</v>
      </c>
      <c r="AR10" s="406" t="s">
        <v>354</v>
      </c>
      <c r="AS10" s="234" t="s">
        <v>336</v>
      </c>
      <c r="AT10" s="39"/>
      <c r="AU10" s="33"/>
      <c r="AV10" s="33"/>
      <c r="AW10" s="34"/>
      <c r="AX10" s="210" t="s">
        <v>321</v>
      </c>
      <c r="AY10" s="199" t="s">
        <v>321</v>
      </c>
      <c r="AZ10" s="24" t="s">
        <v>322</v>
      </c>
      <c r="BA10" s="26"/>
    </row>
    <row r="11" spans="2:53" s="293" customFormat="1" ht="158.25" customHeight="1" thickBot="1" x14ac:dyDescent="0.4">
      <c r="B11" s="5">
        <v>591727</v>
      </c>
      <c r="C11" s="6">
        <v>6261</v>
      </c>
      <c r="D11" s="291" t="s">
        <v>382</v>
      </c>
      <c r="E11" s="6" t="s">
        <v>407</v>
      </c>
      <c r="F11" s="6">
        <v>10.75</v>
      </c>
      <c r="G11" s="6">
        <v>4</v>
      </c>
      <c r="H11" s="6" t="s">
        <v>408</v>
      </c>
      <c r="I11" s="6" t="s">
        <v>396</v>
      </c>
      <c r="J11" s="9">
        <v>1.2</v>
      </c>
      <c r="K11" s="449"/>
      <c r="L11" s="450" t="s">
        <v>409</v>
      </c>
      <c r="M11" s="451" t="s">
        <v>398</v>
      </c>
      <c r="N11" s="12" t="s">
        <v>30</v>
      </c>
      <c r="O11" s="13" t="s">
        <v>410</v>
      </c>
      <c r="P11" s="437" t="s">
        <v>411</v>
      </c>
      <c r="Q11" s="446"/>
      <c r="R11" s="438" t="s">
        <v>146</v>
      </c>
      <c r="S11" s="238"/>
      <c r="T11" s="241"/>
      <c r="U11" s="83" t="s">
        <v>32</v>
      </c>
      <c r="V11" s="430" t="s">
        <v>412</v>
      </c>
      <c r="W11" s="201"/>
      <c r="X11" s="431"/>
      <c r="Y11" s="44"/>
      <c r="Z11" s="40"/>
      <c r="AA11" s="11"/>
      <c r="AB11" s="16"/>
      <c r="AC11" s="15"/>
      <c r="AD11" s="286"/>
      <c r="AE11" s="44"/>
      <c r="AF11" s="44"/>
      <c r="AG11" s="11"/>
      <c r="AH11" s="16"/>
      <c r="AI11" s="221"/>
      <c r="AJ11" s="200"/>
      <c r="AK11" s="201"/>
      <c r="AL11" s="202"/>
      <c r="AM11" s="221"/>
      <c r="AN11" s="44"/>
      <c r="AO11" s="221"/>
      <c r="AP11" s="14"/>
      <c r="AQ11" s="246">
        <f>AO11*AP11</f>
        <v>0</v>
      </c>
      <c r="AR11" s="6"/>
      <c r="AS11" s="244">
        <f>PI()*AR11^2</f>
        <v>0</v>
      </c>
      <c r="AT11" s="200"/>
      <c r="AU11" s="201"/>
      <c r="AV11" s="201"/>
      <c r="AW11" s="202"/>
      <c r="AX11" s="404"/>
      <c r="AY11" s="405"/>
      <c r="AZ11" s="276" t="s">
        <v>399</v>
      </c>
      <c r="BA11" s="277" t="s">
        <v>397</v>
      </c>
    </row>
    <row r="12" spans="2:53" s="293" customFormat="1" ht="89.25" customHeight="1" thickBot="1" x14ac:dyDescent="0.4">
      <c r="B12" s="5"/>
      <c r="C12" s="6"/>
      <c r="D12" s="291" t="s">
        <v>382</v>
      </c>
      <c r="E12" s="6"/>
      <c r="F12" s="6"/>
      <c r="G12" s="6"/>
      <c r="H12" s="6"/>
      <c r="I12" s="6"/>
      <c r="J12" s="9"/>
      <c r="K12" s="287"/>
      <c r="L12" s="453"/>
      <c r="M12" s="452"/>
      <c r="N12" s="6"/>
      <c r="O12" s="7"/>
      <c r="P12" s="437"/>
      <c r="Q12" s="437"/>
      <c r="R12" s="439"/>
      <c r="S12" s="239"/>
      <c r="T12" s="242"/>
      <c r="U12" s="240"/>
      <c r="V12" s="222"/>
      <c r="W12" s="6"/>
      <c r="X12" s="432"/>
      <c r="Y12" s="45"/>
      <c r="Z12" s="41"/>
      <c r="AA12" s="5"/>
      <c r="AB12" s="10"/>
      <c r="AC12" s="9"/>
      <c r="AD12" s="289"/>
      <c r="AE12" s="45"/>
      <c r="AF12" s="45"/>
      <c r="AG12" s="5"/>
      <c r="AH12" s="10"/>
      <c r="AI12" s="222"/>
      <c r="AJ12" s="5"/>
      <c r="AK12" s="6"/>
      <c r="AL12" s="10"/>
      <c r="AM12" s="222"/>
      <c r="AN12" s="45"/>
      <c r="AO12" s="222"/>
      <c r="AP12" s="8"/>
      <c r="AQ12" s="246">
        <f t="shared" ref="AQ12:AQ35" si="0">AO12*AP12</f>
        <v>0</v>
      </c>
      <c r="AR12" s="6"/>
      <c r="AS12" s="244">
        <f t="shared" ref="AS12:AS35" si="1">PI()*AR12^2</f>
        <v>0</v>
      </c>
      <c r="AT12" s="5"/>
      <c r="AU12" s="6"/>
      <c r="AV12" s="6"/>
      <c r="AW12" s="10"/>
      <c r="AX12" s="278"/>
      <c r="AY12" s="279"/>
      <c r="AZ12" s="276"/>
      <c r="BA12" s="277"/>
    </row>
    <row r="13" spans="2:53" s="293" customFormat="1" ht="99.75" customHeight="1" x14ac:dyDescent="0.35">
      <c r="B13" s="5"/>
      <c r="C13" s="6"/>
      <c r="D13" s="291" t="s">
        <v>382</v>
      </c>
      <c r="E13" s="6"/>
      <c r="F13" s="6"/>
      <c r="G13" s="6"/>
      <c r="H13" s="6"/>
      <c r="I13" s="6"/>
      <c r="J13" s="9"/>
      <c r="K13" s="287"/>
      <c r="L13" s="278"/>
      <c r="M13" s="452"/>
      <c r="N13" s="6"/>
      <c r="O13" s="7"/>
      <c r="P13" s="437"/>
      <c r="Q13" s="437"/>
      <c r="R13" s="439"/>
      <c r="S13" s="239"/>
      <c r="T13" s="242"/>
      <c r="U13" s="240"/>
      <c r="V13" s="222"/>
      <c r="W13" s="6"/>
      <c r="X13" s="432"/>
      <c r="Y13" s="45"/>
      <c r="Z13" s="41"/>
      <c r="AA13" s="5"/>
      <c r="AB13" s="10"/>
      <c r="AC13" s="9"/>
      <c r="AD13" s="289"/>
      <c r="AE13" s="45"/>
      <c r="AF13" s="45"/>
      <c r="AG13" s="5"/>
      <c r="AH13" s="10"/>
      <c r="AI13" s="222"/>
      <c r="AJ13" s="5"/>
      <c r="AK13" s="6"/>
      <c r="AL13" s="10"/>
      <c r="AM13" s="222"/>
      <c r="AN13" s="45"/>
      <c r="AO13" s="222"/>
      <c r="AP13" s="8"/>
      <c r="AQ13" s="246">
        <f t="shared" si="0"/>
        <v>0</v>
      </c>
      <c r="AR13" s="6"/>
      <c r="AS13" s="244">
        <f t="shared" si="1"/>
        <v>0</v>
      </c>
      <c r="AT13" s="5"/>
      <c r="AU13" s="6"/>
      <c r="AV13" s="6"/>
      <c r="AW13" s="10"/>
      <c r="AX13" s="278"/>
      <c r="AY13" s="279"/>
      <c r="AZ13" s="276"/>
      <c r="BA13" s="277"/>
    </row>
    <row r="14" spans="2:53" s="293" customFormat="1" ht="89.25" customHeight="1" x14ac:dyDescent="0.35">
      <c r="B14" s="5"/>
      <c r="C14" s="6"/>
      <c r="D14" s="291" t="s">
        <v>382</v>
      </c>
      <c r="E14" s="6"/>
      <c r="F14" s="6"/>
      <c r="G14" s="6"/>
      <c r="H14" s="6"/>
      <c r="I14" s="6"/>
      <c r="J14" s="9"/>
      <c r="K14" s="287"/>
      <c r="L14" s="288"/>
      <c r="M14" s="289"/>
      <c r="N14" s="6"/>
      <c r="O14" s="7"/>
      <c r="P14" s="437"/>
      <c r="Q14" s="437"/>
      <c r="R14" s="439"/>
      <c r="S14" s="239"/>
      <c r="T14" s="242"/>
      <c r="U14" s="240"/>
      <c r="V14" s="421"/>
      <c r="W14" s="84"/>
      <c r="X14" s="433"/>
      <c r="Y14" s="45"/>
      <c r="Z14" s="41"/>
      <c r="AA14" s="5"/>
      <c r="AB14" s="10"/>
      <c r="AC14" s="9"/>
      <c r="AD14" s="289"/>
      <c r="AE14" s="45"/>
      <c r="AF14" s="45"/>
      <c r="AG14" s="5"/>
      <c r="AH14" s="10"/>
      <c r="AI14" s="222"/>
      <c r="AJ14" s="5"/>
      <c r="AK14" s="6"/>
      <c r="AL14" s="10"/>
      <c r="AM14" s="222"/>
      <c r="AN14" s="45"/>
      <c r="AO14" s="222"/>
      <c r="AP14" s="8"/>
      <c r="AQ14" s="246">
        <f t="shared" si="0"/>
        <v>0</v>
      </c>
      <c r="AR14" s="6"/>
      <c r="AS14" s="244">
        <f t="shared" si="1"/>
        <v>0</v>
      </c>
      <c r="AT14" s="5"/>
      <c r="AU14" s="6"/>
      <c r="AV14" s="6"/>
      <c r="AW14" s="10"/>
      <c r="AX14" s="278"/>
      <c r="AY14" s="279"/>
      <c r="AZ14" s="279"/>
      <c r="BA14" s="280"/>
    </row>
    <row r="15" spans="2:53" s="293" customFormat="1" ht="114.75" customHeight="1" x14ac:dyDescent="0.35">
      <c r="B15" s="448"/>
      <c r="C15" s="448"/>
      <c r="D15" s="448"/>
      <c r="E15" s="448"/>
      <c r="F15" s="448"/>
      <c r="G15" s="448"/>
      <c r="H15" s="448"/>
      <c r="I15" s="448"/>
      <c r="J15" s="448"/>
      <c r="K15" s="448"/>
      <c r="L15" s="288"/>
      <c r="M15" s="289"/>
      <c r="N15" s="6"/>
      <c r="O15" s="7"/>
      <c r="P15" s="437"/>
      <c r="Q15" s="437"/>
      <c r="R15" s="439"/>
      <c r="S15" s="239"/>
      <c r="T15" s="242"/>
      <c r="U15" s="240"/>
      <c r="V15" s="421"/>
      <c r="W15" s="84"/>
      <c r="X15" s="433"/>
      <c r="Y15" s="45"/>
      <c r="Z15" s="41"/>
      <c r="AA15" s="5"/>
      <c r="AB15" s="10"/>
      <c r="AC15" s="9"/>
      <c r="AD15" s="289"/>
      <c r="AE15" s="45"/>
      <c r="AF15" s="45"/>
      <c r="AG15" s="5"/>
      <c r="AH15" s="10"/>
      <c r="AI15" s="222"/>
      <c r="AJ15" s="5"/>
      <c r="AK15" s="6"/>
      <c r="AL15" s="10"/>
      <c r="AM15" s="222"/>
      <c r="AN15" s="45"/>
      <c r="AO15" s="5"/>
      <c r="AP15" s="41"/>
      <c r="AQ15" s="246">
        <f t="shared" si="0"/>
        <v>0</v>
      </c>
      <c r="AR15" s="6"/>
      <c r="AS15" s="244">
        <f t="shared" si="1"/>
        <v>0</v>
      </c>
      <c r="AT15" s="5"/>
      <c r="AU15" s="6"/>
      <c r="AV15" s="6"/>
      <c r="AW15" s="10"/>
      <c r="AX15" s="278"/>
      <c r="AY15" s="279"/>
      <c r="AZ15" s="279"/>
      <c r="BA15" s="280"/>
    </row>
    <row r="16" spans="2:53" s="293" customFormat="1" ht="89.25" customHeight="1" x14ac:dyDescent="0.35">
      <c r="B16" s="5"/>
      <c r="C16" s="6"/>
      <c r="D16" s="291" t="s">
        <v>382</v>
      </c>
      <c r="E16" s="6"/>
      <c r="F16" s="6"/>
      <c r="G16" s="6"/>
      <c r="H16" s="6"/>
      <c r="I16" s="6"/>
      <c r="J16" s="9"/>
      <c r="K16" s="287"/>
      <c r="L16" s="288"/>
      <c r="M16" s="289"/>
      <c r="N16" s="6"/>
      <c r="O16" s="7"/>
      <c r="P16" s="437"/>
      <c r="Q16" s="437"/>
      <c r="R16" s="439"/>
      <c r="S16" s="239"/>
      <c r="T16" s="242"/>
      <c r="U16" s="240"/>
      <c r="V16" s="421"/>
      <c r="W16" s="84"/>
      <c r="X16" s="433"/>
      <c r="Y16" s="45"/>
      <c r="Z16" s="41"/>
      <c r="AA16" s="5"/>
      <c r="AB16" s="10"/>
      <c r="AC16" s="9"/>
      <c r="AD16" s="289"/>
      <c r="AE16" s="45"/>
      <c r="AF16" s="45"/>
      <c r="AG16" s="5"/>
      <c r="AH16" s="10"/>
      <c r="AI16" s="222"/>
      <c r="AJ16" s="5"/>
      <c r="AK16" s="6"/>
      <c r="AL16" s="10"/>
      <c r="AM16" s="222"/>
      <c r="AN16" s="45"/>
      <c r="AO16" s="5"/>
      <c r="AP16" s="41"/>
      <c r="AQ16" s="246">
        <f t="shared" si="0"/>
        <v>0</v>
      </c>
      <c r="AR16" s="6"/>
      <c r="AS16" s="244">
        <f t="shared" si="1"/>
        <v>0</v>
      </c>
      <c r="AT16" s="5"/>
      <c r="AU16" s="6"/>
      <c r="AV16" s="6"/>
      <c r="AW16" s="10"/>
      <c r="AX16" s="278"/>
      <c r="AY16" s="279"/>
      <c r="AZ16" s="279"/>
      <c r="BA16" s="280"/>
    </row>
    <row r="17" spans="2:53" s="293" customFormat="1" ht="89.25" customHeight="1" x14ac:dyDescent="0.35">
      <c r="B17" s="5"/>
      <c r="C17" s="6"/>
      <c r="D17" s="291" t="s">
        <v>382</v>
      </c>
      <c r="E17" s="6"/>
      <c r="F17" s="6"/>
      <c r="G17" s="6"/>
      <c r="H17" s="6"/>
      <c r="I17" s="6"/>
      <c r="J17" s="9"/>
      <c r="K17" s="287"/>
      <c r="L17" s="288"/>
      <c r="M17" s="289"/>
      <c r="N17" s="6"/>
      <c r="O17" s="7"/>
      <c r="P17" s="437"/>
      <c r="Q17" s="437"/>
      <c r="R17" s="439"/>
      <c r="S17" s="239"/>
      <c r="T17" s="242"/>
      <c r="U17" s="240"/>
      <c r="V17" s="421"/>
      <c r="W17" s="84"/>
      <c r="X17" s="433"/>
      <c r="Y17" s="45"/>
      <c r="Z17" s="41"/>
      <c r="AA17" s="5"/>
      <c r="AB17" s="10"/>
      <c r="AC17" s="9"/>
      <c r="AD17" s="289"/>
      <c r="AE17" s="45"/>
      <c r="AF17" s="45"/>
      <c r="AG17" s="5"/>
      <c r="AH17" s="10"/>
      <c r="AI17" s="222"/>
      <c r="AJ17" s="5"/>
      <c r="AK17" s="6"/>
      <c r="AL17" s="10"/>
      <c r="AM17" s="222"/>
      <c r="AN17" s="45"/>
      <c r="AO17" s="5"/>
      <c r="AP17" s="41"/>
      <c r="AQ17" s="246">
        <f t="shared" si="0"/>
        <v>0</v>
      </c>
      <c r="AR17" s="6"/>
      <c r="AS17" s="244">
        <f t="shared" si="1"/>
        <v>0</v>
      </c>
      <c r="AT17" s="5"/>
      <c r="AU17" s="6"/>
      <c r="AV17" s="6"/>
      <c r="AW17" s="10"/>
      <c r="AX17" s="278"/>
      <c r="AY17" s="279"/>
      <c r="AZ17" s="279"/>
      <c r="BA17" s="280"/>
    </row>
    <row r="18" spans="2:53" s="293" customFormat="1" ht="89.25" customHeight="1" x14ac:dyDescent="0.35">
      <c r="B18" s="5"/>
      <c r="C18" s="6"/>
      <c r="D18" s="291" t="s">
        <v>382</v>
      </c>
      <c r="E18" s="6"/>
      <c r="F18" s="6"/>
      <c r="G18" s="6"/>
      <c r="H18" s="6"/>
      <c r="I18" s="6"/>
      <c r="J18" s="9"/>
      <c r="K18" s="287"/>
      <c r="L18" s="288"/>
      <c r="M18" s="289"/>
      <c r="N18" s="6"/>
      <c r="O18" s="8"/>
      <c r="P18" s="437"/>
      <c r="Q18" s="437"/>
      <c r="R18" s="440"/>
      <c r="S18" s="239"/>
      <c r="T18" s="242"/>
      <c r="U18" s="240"/>
      <c r="V18" s="421"/>
      <c r="W18" s="84"/>
      <c r="X18" s="433"/>
      <c r="Y18" s="45"/>
      <c r="Z18" s="41"/>
      <c r="AA18" s="5"/>
      <c r="AB18" s="10"/>
      <c r="AC18" s="9"/>
      <c r="AD18" s="289"/>
      <c r="AE18" s="45"/>
      <c r="AF18" s="45"/>
      <c r="AG18" s="5"/>
      <c r="AH18" s="10"/>
      <c r="AI18" s="222"/>
      <c r="AJ18" s="5"/>
      <c r="AK18" s="6"/>
      <c r="AL18" s="10"/>
      <c r="AM18" s="222"/>
      <c r="AN18" s="45"/>
      <c r="AO18" s="5"/>
      <c r="AP18" s="41"/>
      <c r="AQ18" s="246">
        <f t="shared" si="0"/>
        <v>0</v>
      </c>
      <c r="AR18" s="6"/>
      <c r="AS18" s="244">
        <f t="shared" si="1"/>
        <v>0</v>
      </c>
      <c r="AT18" s="5"/>
      <c r="AU18" s="6"/>
      <c r="AV18" s="6"/>
      <c r="AW18" s="10"/>
      <c r="AX18" s="278"/>
      <c r="AY18" s="279"/>
      <c r="AZ18" s="279"/>
      <c r="BA18" s="280"/>
    </row>
    <row r="19" spans="2:53" s="293" customFormat="1" ht="89.25" customHeight="1" x14ac:dyDescent="0.35">
      <c r="B19" s="5"/>
      <c r="C19" s="6"/>
      <c r="D19" s="291" t="s">
        <v>382</v>
      </c>
      <c r="E19" s="6"/>
      <c r="F19" s="6"/>
      <c r="G19" s="6"/>
      <c r="H19" s="6"/>
      <c r="I19" s="6"/>
      <c r="J19" s="9"/>
      <c r="K19" s="287"/>
      <c r="L19" s="288"/>
      <c r="M19" s="289"/>
      <c r="N19" s="6"/>
      <c r="O19" s="8"/>
      <c r="P19" s="437"/>
      <c r="Q19" s="437"/>
      <c r="R19" s="440"/>
      <c r="S19" s="239"/>
      <c r="T19" s="242"/>
      <c r="U19" s="240"/>
      <c r="V19" s="419"/>
      <c r="W19" s="423"/>
      <c r="X19" s="434"/>
      <c r="Y19" s="45"/>
      <c r="Z19" s="41"/>
      <c r="AA19" s="5"/>
      <c r="AB19" s="10"/>
      <c r="AC19" s="9"/>
      <c r="AD19" s="289"/>
      <c r="AE19" s="45"/>
      <c r="AF19" s="45"/>
      <c r="AG19" s="5"/>
      <c r="AH19" s="10"/>
      <c r="AI19" s="222"/>
      <c r="AJ19" s="5"/>
      <c r="AK19" s="6"/>
      <c r="AL19" s="10"/>
      <c r="AM19" s="222"/>
      <c r="AN19" s="45"/>
      <c r="AO19" s="5"/>
      <c r="AP19" s="41"/>
      <c r="AQ19" s="246">
        <f t="shared" si="0"/>
        <v>0</v>
      </c>
      <c r="AR19" s="6"/>
      <c r="AS19" s="244">
        <f t="shared" si="1"/>
        <v>0</v>
      </c>
      <c r="AT19" s="5"/>
      <c r="AU19" s="6"/>
      <c r="AV19" s="6"/>
      <c r="AW19" s="10"/>
      <c r="AX19" s="278"/>
      <c r="AY19" s="279"/>
      <c r="AZ19" s="279"/>
      <c r="BA19" s="280"/>
    </row>
    <row r="20" spans="2:53" s="293" customFormat="1" ht="89.25" customHeight="1" x14ac:dyDescent="0.35">
      <c r="B20" s="5"/>
      <c r="C20" s="6"/>
      <c r="D20" s="291" t="s">
        <v>382</v>
      </c>
      <c r="E20" s="6"/>
      <c r="F20" s="6"/>
      <c r="G20" s="6"/>
      <c r="H20" s="6"/>
      <c r="I20" s="6"/>
      <c r="J20" s="9"/>
      <c r="K20" s="287"/>
      <c r="L20" s="288"/>
      <c r="M20" s="289"/>
      <c r="N20" s="6"/>
      <c r="O20" s="8"/>
      <c r="P20" s="437"/>
      <c r="Q20" s="437"/>
      <c r="R20" s="440"/>
      <c r="S20" s="239"/>
      <c r="T20" s="242"/>
      <c r="U20" s="240"/>
      <c r="V20" s="419"/>
      <c r="W20" s="423"/>
      <c r="X20" s="434"/>
      <c r="Y20" s="45"/>
      <c r="Z20" s="41"/>
      <c r="AA20" s="5"/>
      <c r="AB20" s="10"/>
      <c r="AC20" s="9"/>
      <c r="AD20" s="289"/>
      <c r="AE20" s="45"/>
      <c r="AF20" s="45"/>
      <c r="AG20" s="5"/>
      <c r="AH20" s="10"/>
      <c r="AI20" s="222"/>
      <c r="AJ20" s="5"/>
      <c r="AK20" s="6"/>
      <c r="AL20" s="10"/>
      <c r="AM20" s="222"/>
      <c r="AN20" s="45"/>
      <c r="AO20" s="5"/>
      <c r="AP20" s="41"/>
      <c r="AQ20" s="246">
        <f t="shared" si="0"/>
        <v>0</v>
      </c>
      <c r="AR20" s="6"/>
      <c r="AS20" s="244">
        <f t="shared" si="1"/>
        <v>0</v>
      </c>
      <c r="AT20" s="5"/>
      <c r="AU20" s="6"/>
      <c r="AV20" s="6"/>
      <c r="AW20" s="10"/>
      <c r="AX20" s="278"/>
      <c r="AY20" s="279"/>
      <c r="AZ20" s="279"/>
      <c r="BA20" s="280"/>
    </row>
    <row r="21" spans="2:53" s="293" customFormat="1" ht="89.25" customHeight="1" x14ac:dyDescent="0.35">
      <c r="B21" s="5"/>
      <c r="C21" s="6"/>
      <c r="D21" s="291" t="s">
        <v>382</v>
      </c>
      <c r="E21" s="6"/>
      <c r="F21" s="6"/>
      <c r="G21" s="6"/>
      <c r="H21" s="6"/>
      <c r="I21" s="6"/>
      <c r="J21" s="9"/>
      <c r="K21" s="287"/>
      <c r="L21" s="288"/>
      <c r="M21" s="289"/>
      <c r="N21" s="6"/>
      <c r="O21" s="8"/>
      <c r="P21" s="437"/>
      <c r="Q21" s="437"/>
      <c r="R21" s="440"/>
      <c r="S21" s="239"/>
      <c r="T21" s="242"/>
      <c r="U21" s="240"/>
      <c r="V21" s="419"/>
      <c r="W21" s="423"/>
      <c r="X21" s="434"/>
      <c r="Y21" s="45"/>
      <c r="Z21" s="41"/>
      <c r="AA21" s="5"/>
      <c r="AB21" s="10"/>
      <c r="AC21" s="9"/>
      <c r="AD21" s="289"/>
      <c r="AE21" s="45"/>
      <c r="AF21" s="45"/>
      <c r="AG21" s="5"/>
      <c r="AH21" s="10"/>
      <c r="AI21" s="222"/>
      <c r="AJ21" s="5"/>
      <c r="AK21" s="6"/>
      <c r="AL21" s="10"/>
      <c r="AM21" s="222"/>
      <c r="AN21" s="45"/>
      <c r="AO21" s="5"/>
      <c r="AP21" s="41"/>
      <c r="AQ21" s="246">
        <f t="shared" si="0"/>
        <v>0</v>
      </c>
      <c r="AR21" s="6"/>
      <c r="AS21" s="244">
        <f t="shared" si="1"/>
        <v>0</v>
      </c>
      <c r="AT21" s="5"/>
      <c r="AU21" s="6"/>
      <c r="AV21" s="6"/>
      <c r="AW21" s="10"/>
      <c r="AX21" s="278"/>
      <c r="AY21" s="279"/>
      <c r="AZ21" s="279"/>
      <c r="BA21" s="280"/>
    </row>
    <row r="22" spans="2:53" s="293" customFormat="1" ht="89.25" customHeight="1" x14ac:dyDescent="0.35">
      <c r="B22" s="5"/>
      <c r="C22" s="6"/>
      <c r="D22" s="291" t="s">
        <v>382</v>
      </c>
      <c r="E22" s="6"/>
      <c r="F22" s="6"/>
      <c r="G22" s="6"/>
      <c r="H22" s="6"/>
      <c r="I22" s="6"/>
      <c r="J22" s="9"/>
      <c r="K22" s="287"/>
      <c r="L22" s="288"/>
      <c r="M22" s="289"/>
      <c r="N22" s="6"/>
      <c r="O22" s="8"/>
      <c r="P22" s="437"/>
      <c r="Q22" s="437"/>
      <c r="R22" s="440"/>
      <c r="S22" s="239"/>
      <c r="T22" s="242"/>
      <c r="U22" s="240"/>
      <c r="V22" s="419"/>
      <c r="W22" s="423"/>
      <c r="X22" s="434"/>
      <c r="Y22" s="45"/>
      <c r="Z22" s="41"/>
      <c r="AA22" s="5"/>
      <c r="AB22" s="10"/>
      <c r="AC22" s="9"/>
      <c r="AD22" s="289"/>
      <c r="AE22" s="45"/>
      <c r="AF22" s="45"/>
      <c r="AG22" s="5"/>
      <c r="AH22" s="10"/>
      <c r="AI22" s="222"/>
      <c r="AJ22" s="5"/>
      <c r="AK22" s="6"/>
      <c r="AL22" s="10"/>
      <c r="AM22" s="222"/>
      <c r="AN22" s="45"/>
      <c r="AO22" s="5"/>
      <c r="AP22" s="41"/>
      <c r="AQ22" s="246">
        <f t="shared" si="0"/>
        <v>0</v>
      </c>
      <c r="AR22" s="6"/>
      <c r="AS22" s="244">
        <f t="shared" si="1"/>
        <v>0</v>
      </c>
      <c r="AT22" s="5"/>
      <c r="AU22" s="6"/>
      <c r="AV22" s="6"/>
      <c r="AW22" s="10"/>
      <c r="AX22" s="278"/>
      <c r="AY22" s="279"/>
      <c r="AZ22" s="279"/>
      <c r="BA22" s="280"/>
    </row>
    <row r="23" spans="2:53" s="293" customFormat="1" ht="89.25" customHeight="1" x14ac:dyDescent="0.35">
      <c r="B23" s="5"/>
      <c r="C23" s="6"/>
      <c r="D23" s="291" t="s">
        <v>382</v>
      </c>
      <c r="E23" s="6"/>
      <c r="F23" s="6"/>
      <c r="G23" s="6"/>
      <c r="H23" s="6"/>
      <c r="I23" s="6"/>
      <c r="J23" s="9"/>
      <c r="K23" s="287"/>
      <c r="L23" s="288"/>
      <c r="M23" s="289"/>
      <c r="N23" s="6"/>
      <c r="O23" s="8"/>
      <c r="P23" s="437"/>
      <c r="Q23" s="437"/>
      <c r="R23" s="440"/>
      <c r="S23" s="239"/>
      <c r="T23" s="242"/>
      <c r="U23" s="240"/>
      <c r="V23" s="419"/>
      <c r="W23" s="423"/>
      <c r="X23" s="434"/>
      <c r="Y23" s="45"/>
      <c r="Z23" s="41"/>
      <c r="AA23" s="5"/>
      <c r="AB23" s="10"/>
      <c r="AC23" s="9"/>
      <c r="AD23" s="289"/>
      <c r="AE23" s="45"/>
      <c r="AF23" s="45"/>
      <c r="AG23" s="5"/>
      <c r="AH23" s="10"/>
      <c r="AI23" s="222"/>
      <c r="AJ23" s="5"/>
      <c r="AK23" s="6"/>
      <c r="AL23" s="10"/>
      <c r="AM23" s="222"/>
      <c r="AN23" s="45"/>
      <c r="AO23" s="5"/>
      <c r="AP23" s="41"/>
      <c r="AQ23" s="246">
        <f t="shared" si="0"/>
        <v>0</v>
      </c>
      <c r="AR23" s="6"/>
      <c r="AS23" s="244">
        <f t="shared" si="1"/>
        <v>0</v>
      </c>
      <c r="AT23" s="5"/>
      <c r="AU23" s="6"/>
      <c r="AV23" s="6"/>
      <c r="AW23" s="10"/>
      <c r="AX23" s="278"/>
      <c r="AY23" s="279"/>
      <c r="AZ23" s="279"/>
      <c r="BA23" s="280"/>
    </row>
    <row r="24" spans="2:53" s="293" customFormat="1" ht="89.25" customHeight="1" x14ac:dyDescent="0.35">
      <c r="B24" s="5"/>
      <c r="C24" s="6"/>
      <c r="D24" s="291" t="s">
        <v>382</v>
      </c>
      <c r="E24" s="6"/>
      <c r="F24" s="6"/>
      <c r="G24" s="6"/>
      <c r="H24" s="6"/>
      <c r="I24" s="6"/>
      <c r="J24" s="9"/>
      <c r="K24" s="287"/>
      <c r="L24" s="288"/>
      <c r="M24" s="289"/>
      <c r="N24" s="6"/>
      <c r="O24" s="8"/>
      <c r="P24" s="437"/>
      <c r="Q24" s="437"/>
      <c r="R24" s="440"/>
      <c r="S24" s="239"/>
      <c r="T24" s="242"/>
      <c r="U24" s="240"/>
      <c r="V24" s="419"/>
      <c r="W24" s="423"/>
      <c r="X24" s="434"/>
      <c r="Y24" s="45"/>
      <c r="Z24" s="41"/>
      <c r="AA24" s="5"/>
      <c r="AB24" s="10"/>
      <c r="AC24" s="9"/>
      <c r="AD24" s="289"/>
      <c r="AE24" s="45"/>
      <c r="AF24" s="45"/>
      <c r="AG24" s="5"/>
      <c r="AH24" s="10"/>
      <c r="AI24" s="222"/>
      <c r="AJ24" s="5"/>
      <c r="AK24" s="6"/>
      <c r="AL24" s="10"/>
      <c r="AM24" s="222"/>
      <c r="AN24" s="45"/>
      <c r="AO24" s="5"/>
      <c r="AP24" s="41"/>
      <c r="AQ24" s="246">
        <f t="shared" si="0"/>
        <v>0</v>
      </c>
      <c r="AR24" s="6"/>
      <c r="AS24" s="244">
        <f t="shared" si="1"/>
        <v>0</v>
      </c>
      <c r="AT24" s="5"/>
      <c r="AU24" s="6"/>
      <c r="AV24" s="6"/>
      <c r="AW24" s="10"/>
      <c r="AX24" s="278"/>
      <c r="AY24" s="279"/>
      <c r="AZ24" s="279"/>
      <c r="BA24" s="280"/>
    </row>
    <row r="25" spans="2:53" s="293" customFormat="1" ht="89.25" customHeight="1" x14ac:dyDescent="0.35">
      <c r="B25" s="5"/>
      <c r="C25" s="6"/>
      <c r="D25" s="291" t="s">
        <v>382</v>
      </c>
      <c r="E25" s="6"/>
      <c r="F25" s="6"/>
      <c r="G25" s="6"/>
      <c r="H25" s="6"/>
      <c r="I25" s="6"/>
      <c r="J25" s="9"/>
      <c r="K25" s="287"/>
      <c r="L25" s="288"/>
      <c r="M25" s="289"/>
      <c r="N25" s="6"/>
      <c r="O25" s="8"/>
      <c r="P25" s="437"/>
      <c r="Q25" s="437"/>
      <c r="R25" s="440"/>
      <c r="S25" s="239"/>
      <c r="T25" s="242"/>
      <c r="U25" s="240"/>
      <c r="V25" s="419"/>
      <c r="W25" s="423"/>
      <c r="X25" s="434"/>
      <c r="Y25" s="45"/>
      <c r="Z25" s="41"/>
      <c r="AA25" s="5"/>
      <c r="AB25" s="10"/>
      <c r="AC25" s="9"/>
      <c r="AD25" s="289"/>
      <c r="AE25" s="45"/>
      <c r="AF25" s="45"/>
      <c r="AG25" s="5"/>
      <c r="AH25" s="10"/>
      <c r="AI25" s="222"/>
      <c r="AJ25" s="5"/>
      <c r="AK25" s="6"/>
      <c r="AL25" s="10"/>
      <c r="AM25" s="222"/>
      <c r="AN25" s="45"/>
      <c r="AO25" s="5"/>
      <c r="AP25" s="41"/>
      <c r="AQ25" s="246">
        <f t="shared" si="0"/>
        <v>0</v>
      </c>
      <c r="AR25" s="6"/>
      <c r="AS25" s="244">
        <f t="shared" si="1"/>
        <v>0</v>
      </c>
      <c r="AT25" s="5"/>
      <c r="AU25" s="6"/>
      <c r="AV25" s="6"/>
      <c r="AW25" s="10"/>
      <c r="AX25" s="278"/>
      <c r="AY25" s="279"/>
      <c r="AZ25" s="279"/>
      <c r="BA25" s="280"/>
    </row>
    <row r="26" spans="2:53" s="293" customFormat="1" ht="89.25" customHeight="1" x14ac:dyDescent="0.35">
      <c r="B26" s="5"/>
      <c r="C26" s="6"/>
      <c r="D26" s="291" t="s">
        <v>382</v>
      </c>
      <c r="E26" s="6"/>
      <c r="F26" s="6"/>
      <c r="G26" s="6"/>
      <c r="H26" s="6"/>
      <c r="I26" s="6"/>
      <c r="J26" s="9"/>
      <c r="K26" s="294"/>
      <c r="L26" s="295"/>
      <c r="M26" s="296"/>
      <c r="N26" s="6"/>
      <c r="O26" s="8"/>
      <c r="P26" s="437"/>
      <c r="Q26" s="437"/>
      <c r="R26" s="440"/>
      <c r="S26" s="239"/>
      <c r="T26" s="242"/>
      <c r="U26" s="240"/>
      <c r="V26" s="419"/>
      <c r="W26" s="423"/>
      <c r="X26" s="434"/>
      <c r="Y26" s="45"/>
      <c r="Z26" s="41"/>
      <c r="AA26" s="5"/>
      <c r="AB26" s="10"/>
      <c r="AC26" s="9"/>
      <c r="AD26" s="296"/>
      <c r="AE26" s="45"/>
      <c r="AF26" s="45"/>
      <c r="AG26" s="5"/>
      <c r="AH26" s="10"/>
      <c r="AI26" s="222"/>
      <c r="AJ26" s="5"/>
      <c r="AK26" s="6"/>
      <c r="AL26" s="10"/>
      <c r="AM26" s="222"/>
      <c r="AN26" s="45"/>
      <c r="AO26" s="5"/>
      <c r="AP26" s="41"/>
      <c r="AQ26" s="246">
        <f t="shared" si="0"/>
        <v>0</v>
      </c>
      <c r="AR26" s="6"/>
      <c r="AS26" s="244">
        <f t="shared" si="1"/>
        <v>0</v>
      </c>
      <c r="AT26" s="5"/>
      <c r="AU26" s="6"/>
      <c r="AV26" s="6"/>
      <c r="AW26" s="10"/>
      <c r="AX26" s="278"/>
      <c r="AY26" s="279"/>
      <c r="AZ26" s="279"/>
      <c r="BA26" s="280"/>
    </row>
    <row r="27" spans="2:53" s="293" customFormat="1" ht="89.25" customHeight="1" x14ac:dyDescent="0.35">
      <c r="B27" s="5"/>
      <c r="C27" s="6"/>
      <c r="D27" s="291" t="s">
        <v>382</v>
      </c>
      <c r="E27" s="6"/>
      <c r="F27" s="6"/>
      <c r="G27" s="6"/>
      <c r="H27" s="6"/>
      <c r="I27" s="6"/>
      <c r="J27" s="9"/>
      <c r="K27" s="294"/>
      <c r="L27" s="295"/>
      <c r="M27" s="296"/>
      <c r="N27" s="6"/>
      <c r="O27" s="8"/>
      <c r="P27" s="437"/>
      <c r="Q27" s="437"/>
      <c r="R27" s="440"/>
      <c r="S27" s="239"/>
      <c r="T27" s="242"/>
      <c r="U27" s="240"/>
      <c r="V27" s="419"/>
      <c r="W27" s="423"/>
      <c r="X27" s="434"/>
      <c r="Y27" s="45"/>
      <c r="Z27" s="41"/>
      <c r="AA27" s="5"/>
      <c r="AB27" s="10"/>
      <c r="AC27" s="9"/>
      <c r="AD27" s="296"/>
      <c r="AE27" s="45"/>
      <c r="AF27" s="45"/>
      <c r="AG27" s="5"/>
      <c r="AH27" s="10"/>
      <c r="AI27" s="222"/>
      <c r="AJ27" s="5"/>
      <c r="AK27" s="6"/>
      <c r="AL27" s="10"/>
      <c r="AM27" s="222"/>
      <c r="AN27" s="45"/>
      <c r="AO27" s="5"/>
      <c r="AP27" s="41"/>
      <c r="AQ27" s="246">
        <f t="shared" si="0"/>
        <v>0</v>
      </c>
      <c r="AR27" s="6"/>
      <c r="AS27" s="244">
        <f t="shared" si="1"/>
        <v>0</v>
      </c>
      <c r="AT27" s="5"/>
      <c r="AU27" s="6"/>
      <c r="AV27" s="6"/>
      <c r="AW27" s="10"/>
      <c r="AX27" s="278"/>
      <c r="AY27" s="279"/>
      <c r="AZ27" s="279"/>
      <c r="BA27" s="280"/>
    </row>
    <row r="28" spans="2:53" s="293" customFormat="1" ht="89.25" customHeight="1" x14ac:dyDescent="0.35">
      <c r="B28" s="5"/>
      <c r="C28" s="6"/>
      <c r="D28" s="291" t="s">
        <v>382</v>
      </c>
      <c r="E28" s="6"/>
      <c r="F28" s="6"/>
      <c r="G28" s="6"/>
      <c r="H28" s="6"/>
      <c r="I28" s="6"/>
      <c r="J28" s="9"/>
      <c r="K28" s="294"/>
      <c r="L28" s="295"/>
      <c r="M28" s="296"/>
      <c r="N28" s="6"/>
      <c r="O28" s="8"/>
      <c r="P28" s="437"/>
      <c r="Q28" s="437"/>
      <c r="R28" s="440"/>
      <c r="S28" s="239"/>
      <c r="T28" s="242"/>
      <c r="U28" s="240"/>
      <c r="V28" s="419"/>
      <c r="W28" s="423"/>
      <c r="X28" s="434"/>
      <c r="Y28" s="45"/>
      <c r="Z28" s="41"/>
      <c r="AA28" s="5"/>
      <c r="AB28" s="10"/>
      <c r="AC28" s="9"/>
      <c r="AD28" s="296"/>
      <c r="AE28" s="45"/>
      <c r="AF28" s="45"/>
      <c r="AG28" s="5"/>
      <c r="AH28" s="10"/>
      <c r="AI28" s="222"/>
      <c r="AJ28" s="5"/>
      <c r="AK28" s="6"/>
      <c r="AL28" s="10"/>
      <c r="AM28" s="222"/>
      <c r="AN28" s="45"/>
      <c r="AO28" s="5"/>
      <c r="AP28" s="41"/>
      <c r="AQ28" s="246">
        <f t="shared" si="0"/>
        <v>0</v>
      </c>
      <c r="AR28" s="6"/>
      <c r="AS28" s="244">
        <f t="shared" si="1"/>
        <v>0</v>
      </c>
      <c r="AT28" s="5"/>
      <c r="AU28" s="6"/>
      <c r="AV28" s="6"/>
      <c r="AW28" s="10"/>
      <c r="AX28" s="278"/>
      <c r="AY28" s="279"/>
      <c r="AZ28" s="279"/>
      <c r="BA28" s="280"/>
    </row>
    <row r="29" spans="2:53" s="293" customFormat="1" ht="89.25" customHeight="1" x14ac:dyDescent="0.35">
      <c r="B29" s="5"/>
      <c r="C29" s="6"/>
      <c r="D29" s="291" t="s">
        <v>382</v>
      </c>
      <c r="E29" s="6"/>
      <c r="F29" s="6"/>
      <c r="G29" s="6"/>
      <c r="H29" s="6"/>
      <c r="I29" s="6"/>
      <c r="J29" s="9"/>
      <c r="K29" s="294"/>
      <c r="L29" s="295"/>
      <c r="M29" s="296"/>
      <c r="N29" s="6"/>
      <c r="O29" s="8"/>
      <c r="P29" s="437"/>
      <c r="Q29" s="437"/>
      <c r="R29" s="440"/>
      <c r="S29" s="239"/>
      <c r="T29" s="242"/>
      <c r="U29" s="240"/>
      <c r="V29" s="419"/>
      <c r="W29" s="423"/>
      <c r="X29" s="434"/>
      <c r="Y29" s="45"/>
      <c r="Z29" s="41"/>
      <c r="AA29" s="5"/>
      <c r="AB29" s="10"/>
      <c r="AC29" s="9"/>
      <c r="AD29" s="296"/>
      <c r="AE29" s="45"/>
      <c r="AF29" s="45"/>
      <c r="AG29" s="5"/>
      <c r="AH29" s="10"/>
      <c r="AI29" s="222"/>
      <c r="AJ29" s="5"/>
      <c r="AK29" s="6"/>
      <c r="AL29" s="10"/>
      <c r="AM29" s="222"/>
      <c r="AN29" s="45"/>
      <c r="AO29" s="5"/>
      <c r="AP29" s="41"/>
      <c r="AQ29" s="246">
        <f t="shared" si="0"/>
        <v>0</v>
      </c>
      <c r="AR29" s="6"/>
      <c r="AS29" s="244">
        <f t="shared" si="1"/>
        <v>0</v>
      </c>
      <c r="AT29" s="5"/>
      <c r="AU29" s="6"/>
      <c r="AV29" s="6"/>
      <c r="AW29" s="10"/>
      <c r="AX29" s="278"/>
      <c r="AY29" s="279"/>
      <c r="AZ29" s="279"/>
      <c r="BA29" s="280"/>
    </row>
    <row r="30" spans="2:53" s="293" customFormat="1" ht="89.25" customHeight="1" x14ac:dyDescent="0.35">
      <c r="B30" s="5"/>
      <c r="C30" s="6"/>
      <c r="D30" s="291" t="s">
        <v>382</v>
      </c>
      <c r="E30" s="6"/>
      <c r="F30" s="6"/>
      <c r="G30" s="6"/>
      <c r="H30" s="6"/>
      <c r="I30" s="6"/>
      <c r="J30" s="9"/>
      <c r="K30" s="294"/>
      <c r="L30" s="295"/>
      <c r="M30" s="296"/>
      <c r="N30" s="6"/>
      <c r="O30" s="8"/>
      <c r="P30" s="437"/>
      <c r="Q30" s="437"/>
      <c r="R30" s="440"/>
      <c r="S30" s="239"/>
      <c r="T30" s="242"/>
      <c r="U30" s="240"/>
      <c r="V30" s="419"/>
      <c r="W30" s="423"/>
      <c r="X30" s="434"/>
      <c r="Y30" s="45"/>
      <c r="Z30" s="41"/>
      <c r="AA30" s="5"/>
      <c r="AB30" s="10"/>
      <c r="AC30" s="9"/>
      <c r="AD30" s="296"/>
      <c r="AE30" s="45"/>
      <c r="AF30" s="45"/>
      <c r="AG30" s="5"/>
      <c r="AH30" s="10"/>
      <c r="AI30" s="222"/>
      <c r="AJ30" s="5"/>
      <c r="AK30" s="6"/>
      <c r="AL30" s="10"/>
      <c r="AM30" s="222"/>
      <c r="AN30" s="45"/>
      <c r="AO30" s="5"/>
      <c r="AP30" s="41"/>
      <c r="AQ30" s="246">
        <f t="shared" si="0"/>
        <v>0</v>
      </c>
      <c r="AR30" s="6"/>
      <c r="AS30" s="244">
        <f t="shared" si="1"/>
        <v>0</v>
      </c>
      <c r="AT30" s="5"/>
      <c r="AU30" s="6"/>
      <c r="AV30" s="6"/>
      <c r="AW30" s="10"/>
      <c r="AX30" s="278"/>
      <c r="AY30" s="279"/>
      <c r="AZ30" s="279"/>
      <c r="BA30" s="280"/>
    </row>
    <row r="31" spans="2:53" s="293" customFormat="1" ht="89.25" customHeight="1" x14ac:dyDescent="0.35">
      <c r="B31" s="5"/>
      <c r="C31" s="6"/>
      <c r="D31" s="291" t="s">
        <v>382</v>
      </c>
      <c r="E31" s="6"/>
      <c r="F31" s="6"/>
      <c r="G31" s="6"/>
      <c r="H31" s="6"/>
      <c r="I31" s="6"/>
      <c r="J31" s="9"/>
      <c r="K31" s="294"/>
      <c r="L31" s="295"/>
      <c r="M31" s="296"/>
      <c r="N31" s="6"/>
      <c r="O31" s="8"/>
      <c r="P31" s="437"/>
      <c r="Q31" s="437"/>
      <c r="R31" s="440"/>
      <c r="S31" s="239"/>
      <c r="T31" s="242"/>
      <c r="U31" s="240"/>
      <c r="V31" s="419"/>
      <c r="W31" s="423"/>
      <c r="X31" s="434"/>
      <c r="Y31" s="45"/>
      <c r="Z31" s="41"/>
      <c r="AA31" s="5"/>
      <c r="AB31" s="10"/>
      <c r="AC31" s="9"/>
      <c r="AD31" s="296"/>
      <c r="AE31" s="45"/>
      <c r="AF31" s="45"/>
      <c r="AG31" s="5"/>
      <c r="AH31" s="10"/>
      <c r="AI31" s="222"/>
      <c r="AJ31" s="5"/>
      <c r="AK31" s="6"/>
      <c r="AL31" s="10"/>
      <c r="AM31" s="222"/>
      <c r="AN31" s="45"/>
      <c r="AO31" s="5"/>
      <c r="AP31" s="41"/>
      <c r="AQ31" s="246">
        <f t="shared" si="0"/>
        <v>0</v>
      </c>
      <c r="AR31" s="6"/>
      <c r="AS31" s="244">
        <f t="shared" si="1"/>
        <v>0</v>
      </c>
      <c r="AT31" s="5"/>
      <c r="AU31" s="6"/>
      <c r="AV31" s="6"/>
      <c r="AW31" s="10"/>
      <c r="AX31" s="278"/>
      <c r="AY31" s="279"/>
      <c r="AZ31" s="279"/>
      <c r="BA31" s="280"/>
    </row>
    <row r="32" spans="2:53" s="293" customFormat="1" ht="89.25" customHeight="1" x14ac:dyDescent="0.35">
      <c r="B32" s="5"/>
      <c r="C32" s="6"/>
      <c r="D32" s="291" t="s">
        <v>382</v>
      </c>
      <c r="E32" s="6"/>
      <c r="F32" s="6"/>
      <c r="G32" s="6"/>
      <c r="H32" s="6"/>
      <c r="I32" s="6"/>
      <c r="J32" s="9"/>
      <c r="K32" s="294"/>
      <c r="L32" s="295"/>
      <c r="M32" s="296"/>
      <c r="N32" s="6"/>
      <c r="O32" s="8"/>
      <c r="P32" s="437"/>
      <c r="Q32" s="437"/>
      <c r="R32" s="440"/>
      <c r="S32" s="239"/>
      <c r="T32" s="242"/>
      <c r="U32" s="240"/>
      <c r="V32" s="419"/>
      <c r="W32" s="423"/>
      <c r="X32" s="434"/>
      <c r="Y32" s="45"/>
      <c r="Z32" s="41"/>
      <c r="AA32" s="5"/>
      <c r="AB32" s="10"/>
      <c r="AC32" s="9"/>
      <c r="AD32" s="296"/>
      <c r="AE32" s="45"/>
      <c r="AF32" s="45"/>
      <c r="AG32" s="5"/>
      <c r="AH32" s="10"/>
      <c r="AI32" s="222"/>
      <c r="AJ32" s="5"/>
      <c r="AK32" s="6"/>
      <c r="AL32" s="10"/>
      <c r="AM32" s="222"/>
      <c r="AN32" s="45"/>
      <c r="AO32" s="5"/>
      <c r="AP32" s="41"/>
      <c r="AQ32" s="246">
        <f t="shared" si="0"/>
        <v>0</v>
      </c>
      <c r="AR32" s="6"/>
      <c r="AS32" s="244">
        <f t="shared" si="1"/>
        <v>0</v>
      </c>
      <c r="AT32" s="5"/>
      <c r="AU32" s="6"/>
      <c r="AV32" s="6"/>
      <c r="AW32" s="10"/>
      <c r="AX32" s="278"/>
      <c r="AY32" s="279"/>
      <c r="AZ32" s="279"/>
      <c r="BA32" s="280"/>
    </row>
    <row r="33" spans="2:53" s="293" customFormat="1" ht="89.25" customHeight="1" x14ac:dyDescent="0.35">
      <c r="B33" s="5"/>
      <c r="C33" s="6"/>
      <c r="D33" s="291" t="s">
        <v>382</v>
      </c>
      <c r="E33" s="6"/>
      <c r="F33" s="6"/>
      <c r="G33" s="6"/>
      <c r="H33" s="6"/>
      <c r="I33" s="6"/>
      <c r="J33" s="9"/>
      <c r="K33" s="294"/>
      <c r="L33" s="295"/>
      <c r="M33" s="296"/>
      <c r="N33" s="6"/>
      <c r="O33" s="8"/>
      <c r="P33" s="437"/>
      <c r="Q33" s="437"/>
      <c r="R33" s="440"/>
      <c r="S33" s="239"/>
      <c r="T33" s="242"/>
      <c r="U33" s="240"/>
      <c r="V33" s="419"/>
      <c r="W33" s="423"/>
      <c r="X33" s="434"/>
      <c r="Y33" s="45"/>
      <c r="Z33" s="41"/>
      <c r="AA33" s="5"/>
      <c r="AB33" s="10"/>
      <c r="AC33" s="9"/>
      <c r="AD33" s="296"/>
      <c r="AE33" s="45"/>
      <c r="AF33" s="45"/>
      <c r="AG33" s="5"/>
      <c r="AH33" s="10"/>
      <c r="AI33" s="222"/>
      <c r="AJ33" s="5"/>
      <c r="AK33" s="6"/>
      <c r="AL33" s="10"/>
      <c r="AM33" s="222"/>
      <c r="AN33" s="45"/>
      <c r="AO33" s="5"/>
      <c r="AP33" s="41"/>
      <c r="AQ33" s="246">
        <f t="shared" si="0"/>
        <v>0</v>
      </c>
      <c r="AR33" s="6"/>
      <c r="AS33" s="244">
        <f t="shared" si="1"/>
        <v>0</v>
      </c>
      <c r="AT33" s="5"/>
      <c r="AU33" s="6"/>
      <c r="AV33" s="6"/>
      <c r="AW33" s="10"/>
      <c r="AX33" s="278"/>
      <c r="AY33" s="279"/>
      <c r="AZ33" s="279"/>
      <c r="BA33" s="280"/>
    </row>
    <row r="34" spans="2:53" s="293" customFormat="1" ht="89.25" customHeight="1" x14ac:dyDescent="0.35">
      <c r="B34" s="5"/>
      <c r="C34" s="6"/>
      <c r="D34" s="291" t="s">
        <v>382</v>
      </c>
      <c r="E34" s="6"/>
      <c r="F34" s="6"/>
      <c r="G34" s="6"/>
      <c r="H34" s="6"/>
      <c r="I34" s="6"/>
      <c r="J34" s="9"/>
      <c r="K34" s="294"/>
      <c r="L34" s="295"/>
      <c r="M34" s="296"/>
      <c r="N34" s="6"/>
      <c r="O34" s="8"/>
      <c r="P34" s="437"/>
      <c r="Q34" s="437"/>
      <c r="R34" s="440"/>
      <c r="S34" s="239"/>
      <c r="T34" s="242"/>
      <c r="U34" s="240"/>
      <c r="V34" s="419"/>
      <c r="W34" s="423"/>
      <c r="X34" s="434"/>
      <c r="Y34" s="45"/>
      <c r="Z34" s="41"/>
      <c r="AA34" s="5"/>
      <c r="AB34" s="10"/>
      <c r="AC34" s="9"/>
      <c r="AD34" s="296"/>
      <c r="AE34" s="45"/>
      <c r="AF34" s="45"/>
      <c r="AG34" s="5"/>
      <c r="AH34" s="10"/>
      <c r="AI34" s="222"/>
      <c r="AJ34" s="5"/>
      <c r="AK34" s="6"/>
      <c r="AL34" s="10"/>
      <c r="AM34" s="222"/>
      <c r="AN34" s="45"/>
      <c r="AO34" s="5"/>
      <c r="AP34" s="41"/>
      <c r="AQ34" s="246">
        <f t="shared" si="0"/>
        <v>0</v>
      </c>
      <c r="AR34" s="6"/>
      <c r="AS34" s="244">
        <f t="shared" si="1"/>
        <v>0</v>
      </c>
      <c r="AT34" s="5"/>
      <c r="AU34" s="6"/>
      <c r="AV34" s="6"/>
      <c r="AW34" s="10"/>
      <c r="AX34" s="278"/>
      <c r="AY34" s="279"/>
      <c r="AZ34" s="279"/>
      <c r="BA34" s="280"/>
    </row>
    <row r="35" spans="2:53" s="293" customFormat="1" ht="89.25" customHeight="1" x14ac:dyDescent="0.35">
      <c r="B35" s="5"/>
      <c r="C35" s="6"/>
      <c r="D35" s="291" t="s">
        <v>382</v>
      </c>
      <c r="E35" s="6"/>
      <c r="F35" s="6"/>
      <c r="G35" s="6"/>
      <c r="H35" s="6"/>
      <c r="I35" s="6"/>
      <c r="J35" s="9"/>
      <c r="K35" s="294"/>
      <c r="L35" s="295"/>
      <c r="M35" s="296"/>
      <c r="N35" s="6"/>
      <c r="O35" s="8"/>
      <c r="P35" s="437"/>
      <c r="Q35" s="437"/>
      <c r="R35" s="440"/>
      <c r="S35" s="239"/>
      <c r="T35" s="242"/>
      <c r="U35" s="240"/>
      <c r="V35" s="419"/>
      <c r="W35" s="423"/>
      <c r="X35" s="434"/>
      <c r="Y35" s="45"/>
      <c r="Z35" s="41"/>
      <c r="AA35" s="5"/>
      <c r="AB35" s="10"/>
      <c r="AC35" s="9"/>
      <c r="AD35" s="296"/>
      <c r="AE35" s="45"/>
      <c r="AF35" s="45"/>
      <c r="AG35" s="5"/>
      <c r="AH35" s="10"/>
      <c r="AI35" s="222"/>
      <c r="AJ35" s="5"/>
      <c r="AK35" s="6"/>
      <c r="AL35" s="10"/>
      <c r="AM35" s="222"/>
      <c r="AN35" s="45"/>
      <c r="AO35" s="5"/>
      <c r="AP35" s="41"/>
      <c r="AQ35" s="400">
        <f t="shared" si="0"/>
        <v>0</v>
      </c>
      <c r="AR35" s="6"/>
      <c r="AS35" s="401">
        <f t="shared" si="1"/>
        <v>0</v>
      </c>
      <c r="AT35" s="5"/>
      <c r="AU35" s="6"/>
      <c r="AV35" s="6"/>
      <c r="AW35" s="10"/>
      <c r="AX35" s="278"/>
      <c r="AY35" s="279"/>
      <c r="AZ35" s="279"/>
      <c r="BA35" s="280"/>
    </row>
    <row r="36" spans="2:53" s="293" customFormat="1" ht="89.25" customHeight="1" x14ac:dyDescent="0.35">
      <c r="B36" s="11"/>
      <c r="C36" s="12"/>
      <c r="D36" s="290" t="s">
        <v>382</v>
      </c>
      <c r="E36" s="12"/>
      <c r="F36" s="12"/>
      <c r="G36" s="12"/>
      <c r="H36" s="12"/>
      <c r="I36" s="12"/>
      <c r="J36" s="15"/>
      <c r="K36" s="284"/>
      <c r="L36" s="285"/>
      <c r="M36" s="286"/>
      <c r="N36" s="12"/>
      <c r="O36" s="13"/>
      <c r="P36" s="437"/>
      <c r="Q36" s="437"/>
      <c r="R36" s="441"/>
      <c r="S36" s="238"/>
      <c r="T36" s="241"/>
      <c r="U36" s="83"/>
      <c r="V36" s="79"/>
      <c r="W36" s="385"/>
      <c r="X36" s="80"/>
      <c r="Y36" s="44"/>
      <c r="Z36" s="40"/>
      <c r="AA36" s="11"/>
      <c r="AB36" s="16"/>
      <c r="AC36" s="15"/>
      <c r="AD36" s="286"/>
      <c r="AE36" s="44"/>
      <c r="AF36" s="44"/>
      <c r="AG36" s="11"/>
      <c r="AH36" s="16"/>
      <c r="AI36" s="221"/>
      <c r="AJ36" s="11"/>
      <c r="AK36" s="12"/>
      <c r="AL36" s="16"/>
      <c r="AM36" s="221"/>
      <c r="AN36" s="44"/>
      <c r="AO36" s="221"/>
      <c r="AP36" s="14"/>
      <c r="AQ36" s="246">
        <f>AO36*AP36</f>
        <v>0</v>
      </c>
      <c r="AR36" s="12"/>
      <c r="AS36" s="244">
        <f>PI()*AR36^2</f>
        <v>0</v>
      </c>
      <c r="AT36" s="11"/>
      <c r="AU36" s="12"/>
      <c r="AV36" s="12"/>
      <c r="AW36" s="16"/>
      <c r="AX36" s="402"/>
      <c r="AY36" s="403"/>
      <c r="AZ36" s="398"/>
      <c r="BA36" s="399"/>
    </row>
    <row r="37" spans="2:53" s="293" customFormat="1" ht="89.25" customHeight="1" x14ac:dyDescent="0.35">
      <c r="B37" s="5"/>
      <c r="C37" s="6"/>
      <c r="D37" s="291" t="s">
        <v>382</v>
      </c>
      <c r="E37" s="6"/>
      <c r="F37" s="6"/>
      <c r="G37" s="6"/>
      <c r="H37" s="6"/>
      <c r="I37" s="6"/>
      <c r="J37" s="9"/>
      <c r="K37" s="287"/>
      <c r="L37" s="288"/>
      <c r="M37" s="289"/>
      <c r="N37" s="6"/>
      <c r="O37" s="7"/>
      <c r="P37" s="437"/>
      <c r="Q37" s="437"/>
      <c r="R37" s="439"/>
      <c r="S37" s="239"/>
      <c r="T37" s="242"/>
      <c r="U37" s="240"/>
      <c r="V37" s="419"/>
      <c r="W37" s="423"/>
      <c r="X37" s="434"/>
      <c r="Y37" s="45"/>
      <c r="Z37" s="41"/>
      <c r="AA37" s="5"/>
      <c r="AB37" s="10"/>
      <c r="AC37" s="9"/>
      <c r="AD37" s="289"/>
      <c r="AE37" s="45"/>
      <c r="AF37" s="45"/>
      <c r="AG37" s="5"/>
      <c r="AH37" s="10"/>
      <c r="AI37" s="222"/>
      <c r="AJ37" s="5"/>
      <c r="AK37" s="6"/>
      <c r="AL37" s="10"/>
      <c r="AM37" s="222"/>
      <c r="AN37" s="45"/>
      <c r="AO37" s="222"/>
      <c r="AP37" s="8"/>
      <c r="AQ37" s="246">
        <f t="shared" ref="AQ37:AQ60" si="2">AO37*AP37</f>
        <v>0</v>
      </c>
      <c r="AR37" s="6"/>
      <c r="AS37" s="244">
        <f t="shared" ref="AS37:AS60" si="3">PI()*AR37^2</f>
        <v>0</v>
      </c>
      <c r="AT37" s="5"/>
      <c r="AU37" s="6"/>
      <c r="AV37" s="6"/>
      <c r="AW37" s="10"/>
      <c r="AX37" s="278"/>
      <c r="AY37" s="279"/>
      <c r="AZ37" s="279"/>
      <c r="BA37" s="280"/>
    </row>
    <row r="38" spans="2:53" s="293" customFormat="1" ht="89.25" customHeight="1" x14ac:dyDescent="0.35">
      <c r="B38" s="5"/>
      <c r="C38" s="6"/>
      <c r="D38" s="291" t="s">
        <v>382</v>
      </c>
      <c r="E38" s="6"/>
      <c r="F38" s="6"/>
      <c r="G38" s="6"/>
      <c r="H38" s="6"/>
      <c r="I38" s="6"/>
      <c r="J38" s="9"/>
      <c r="K38" s="287"/>
      <c r="L38" s="288"/>
      <c r="M38" s="289"/>
      <c r="N38" s="6"/>
      <c r="O38" s="7"/>
      <c r="P38" s="437"/>
      <c r="Q38" s="437"/>
      <c r="R38" s="439"/>
      <c r="S38" s="239"/>
      <c r="T38" s="242"/>
      <c r="U38" s="240"/>
      <c r="V38" s="419"/>
      <c r="W38" s="423"/>
      <c r="X38" s="434"/>
      <c r="Y38" s="45"/>
      <c r="Z38" s="41"/>
      <c r="AA38" s="5"/>
      <c r="AB38" s="10"/>
      <c r="AC38" s="9"/>
      <c r="AD38" s="289"/>
      <c r="AE38" s="45"/>
      <c r="AF38" s="45"/>
      <c r="AG38" s="5"/>
      <c r="AH38" s="10"/>
      <c r="AI38" s="222"/>
      <c r="AJ38" s="5"/>
      <c r="AK38" s="6"/>
      <c r="AL38" s="10"/>
      <c r="AM38" s="222"/>
      <c r="AN38" s="45"/>
      <c r="AO38" s="222"/>
      <c r="AP38" s="8"/>
      <c r="AQ38" s="246">
        <f t="shared" si="2"/>
        <v>0</v>
      </c>
      <c r="AR38" s="6"/>
      <c r="AS38" s="244">
        <f t="shared" si="3"/>
        <v>0</v>
      </c>
      <c r="AT38" s="5"/>
      <c r="AU38" s="6"/>
      <c r="AV38" s="6"/>
      <c r="AW38" s="10"/>
      <c r="AX38" s="278"/>
      <c r="AY38" s="279"/>
      <c r="AZ38" s="279"/>
      <c r="BA38" s="280"/>
    </row>
    <row r="39" spans="2:53" s="293" customFormat="1" ht="89.25" customHeight="1" x14ac:dyDescent="0.35">
      <c r="B39" s="5"/>
      <c r="C39" s="6"/>
      <c r="D39" s="291" t="s">
        <v>382</v>
      </c>
      <c r="E39" s="6"/>
      <c r="F39" s="6"/>
      <c r="G39" s="6"/>
      <c r="H39" s="6"/>
      <c r="I39" s="6"/>
      <c r="J39" s="9"/>
      <c r="K39" s="287"/>
      <c r="L39" s="288"/>
      <c r="M39" s="289"/>
      <c r="N39" s="6"/>
      <c r="O39" s="7"/>
      <c r="P39" s="437"/>
      <c r="Q39" s="437"/>
      <c r="R39" s="439"/>
      <c r="S39" s="239"/>
      <c r="T39" s="242"/>
      <c r="U39" s="240"/>
      <c r="V39" s="419"/>
      <c r="W39" s="423"/>
      <c r="X39" s="434"/>
      <c r="Y39" s="45"/>
      <c r="Z39" s="41"/>
      <c r="AA39" s="5"/>
      <c r="AB39" s="10"/>
      <c r="AC39" s="9"/>
      <c r="AD39" s="289"/>
      <c r="AE39" s="45"/>
      <c r="AF39" s="45"/>
      <c r="AG39" s="5"/>
      <c r="AH39" s="10"/>
      <c r="AI39" s="222"/>
      <c r="AJ39" s="5"/>
      <c r="AK39" s="6"/>
      <c r="AL39" s="10"/>
      <c r="AM39" s="222"/>
      <c r="AN39" s="45"/>
      <c r="AO39" s="222"/>
      <c r="AP39" s="8"/>
      <c r="AQ39" s="246">
        <f t="shared" si="2"/>
        <v>0</v>
      </c>
      <c r="AR39" s="6"/>
      <c r="AS39" s="244">
        <f t="shared" si="3"/>
        <v>0</v>
      </c>
      <c r="AT39" s="5"/>
      <c r="AU39" s="6"/>
      <c r="AV39" s="6"/>
      <c r="AW39" s="10"/>
      <c r="AX39" s="278"/>
      <c r="AY39" s="279"/>
      <c r="AZ39" s="279"/>
      <c r="BA39" s="280"/>
    </row>
    <row r="40" spans="2:53" s="293" customFormat="1" ht="89.25" customHeight="1" x14ac:dyDescent="0.35">
      <c r="B40" s="5"/>
      <c r="C40" s="6"/>
      <c r="D40" s="291" t="s">
        <v>382</v>
      </c>
      <c r="E40" s="6"/>
      <c r="F40" s="6"/>
      <c r="G40" s="6"/>
      <c r="H40" s="6"/>
      <c r="I40" s="6"/>
      <c r="J40" s="9"/>
      <c r="K40" s="287"/>
      <c r="L40" s="288"/>
      <c r="M40" s="289"/>
      <c r="N40" s="6"/>
      <c r="O40" s="7"/>
      <c r="P40" s="437"/>
      <c r="Q40" s="437"/>
      <c r="R40" s="439"/>
      <c r="S40" s="239"/>
      <c r="T40" s="242"/>
      <c r="U40" s="240"/>
      <c r="V40" s="419"/>
      <c r="W40" s="423"/>
      <c r="X40" s="434"/>
      <c r="Y40" s="45"/>
      <c r="Z40" s="41"/>
      <c r="AA40" s="5"/>
      <c r="AB40" s="10"/>
      <c r="AC40" s="9"/>
      <c r="AD40" s="289"/>
      <c r="AE40" s="45"/>
      <c r="AF40" s="45"/>
      <c r="AG40" s="5"/>
      <c r="AH40" s="10"/>
      <c r="AI40" s="222"/>
      <c r="AJ40" s="5"/>
      <c r="AK40" s="6"/>
      <c r="AL40" s="10"/>
      <c r="AM40" s="222"/>
      <c r="AN40" s="45"/>
      <c r="AO40" s="5"/>
      <c r="AP40" s="41"/>
      <c r="AQ40" s="246">
        <f t="shared" si="2"/>
        <v>0</v>
      </c>
      <c r="AR40" s="6"/>
      <c r="AS40" s="244">
        <f t="shared" si="3"/>
        <v>0</v>
      </c>
      <c r="AT40" s="5"/>
      <c r="AU40" s="6"/>
      <c r="AV40" s="6"/>
      <c r="AW40" s="10"/>
      <c r="AX40" s="278"/>
      <c r="AY40" s="279"/>
      <c r="AZ40" s="279"/>
      <c r="BA40" s="280"/>
    </row>
    <row r="41" spans="2:53" s="293" customFormat="1" ht="89.25" customHeight="1" x14ac:dyDescent="0.35">
      <c r="B41" s="5"/>
      <c r="C41" s="6"/>
      <c r="D41" s="291" t="s">
        <v>382</v>
      </c>
      <c r="E41" s="6"/>
      <c r="F41" s="6"/>
      <c r="G41" s="6"/>
      <c r="H41" s="6"/>
      <c r="I41" s="6"/>
      <c r="J41" s="9"/>
      <c r="K41" s="287"/>
      <c r="L41" s="288"/>
      <c r="M41" s="289"/>
      <c r="N41" s="6"/>
      <c r="O41" s="7"/>
      <c r="P41" s="437"/>
      <c r="Q41" s="437"/>
      <c r="R41" s="439"/>
      <c r="S41" s="239"/>
      <c r="T41" s="242"/>
      <c r="U41" s="240"/>
      <c r="V41" s="419"/>
      <c r="W41" s="423"/>
      <c r="X41" s="434"/>
      <c r="Y41" s="45"/>
      <c r="Z41" s="41"/>
      <c r="AA41" s="5"/>
      <c r="AB41" s="10"/>
      <c r="AC41" s="9"/>
      <c r="AD41" s="289"/>
      <c r="AE41" s="45"/>
      <c r="AF41" s="45"/>
      <c r="AG41" s="5"/>
      <c r="AH41" s="10"/>
      <c r="AI41" s="222"/>
      <c r="AJ41" s="5"/>
      <c r="AK41" s="6"/>
      <c r="AL41" s="10"/>
      <c r="AM41" s="222"/>
      <c r="AN41" s="45"/>
      <c r="AO41" s="5"/>
      <c r="AP41" s="41"/>
      <c r="AQ41" s="246">
        <f t="shared" si="2"/>
        <v>0</v>
      </c>
      <c r="AR41" s="6"/>
      <c r="AS41" s="244">
        <f t="shared" si="3"/>
        <v>0</v>
      </c>
      <c r="AT41" s="5"/>
      <c r="AU41" s="6"/>
      <c r="AV41" s="6"/>
      <c r="AW41" s="10"/>
      <c r="AX41" s="278"/>
      <c r="AY41" s="279"/>
      <c r="AZ41" s="279"/>
      <c r="BA41" s="280"/>
    </row>
    <row r="42" spans="2:53" s="293" customFormat="1" ht="89.25" customHeight="1" x14ac:dyDescent="0.35">
      <c r="B42" s="5"/>
      <c r="C42" s="6"/>
      <c r="D42" s="291" t="s">
        <v>382</v>
      </c>
      <c r="E42" s="6"/>
      <c r="F42" s="6"/>
      <c r="G42" s="6"/>
      <c r="H42" s="6"/>
      <c r="I42" s="6"/>
      <c r="J42" s="9"/>
      <c r="K42" s="287"/>
      <c r="L42" s="288"/>
      <c r="M42" s="289"/>
      <c r="N42" s="6"/>
      <c r="O42" s="7"/>
      <c r="P42" s="437"/>
      <c r="Q42" s="437"/>
      <c r="R42" s="439"/>
      <c r="S42" s="239"/>
      <c r="T42" s="242"/>
      <c r="U42" s="240"/>
      <c r="V42" s="419"/>
      <c r="W42" s="423"/>
      <c r="X42" s="434"/>
      <c r="Y42" s="45"/>
      <c r="Z42" s="41"/>
      <c r="AA42" s="5"/>
      <c r="AB42" s="10"/>
      <c r="AC42" s="9"/>
      <c r="AD42" s="289"/>
      <c r="AE42" s="45"/>
      <c r="AF42" s="45"/>
      <c r="AG42" s="5"/>
      <c r="AH42" s="10"/>
      <c r="AI42" s="222"/>
      <c r="AJ42" s="5"/>
      <c r="AK42" s="6"/>
      <c r="AL42" s="10"/>
      <c r="AM42" s="222"/>
      <c r="AN42" s="45"/>
      <c r="AO42" s="5"/>
      <c r="AP42" s="41"/>
      <c r="AQ42" s="246">
        <f t="shared" si="2"/>
        <v>0</v>
      </c>
      <c r="AR42" s="6"/>
      <c r="AS42" s="244">
        <f t="shared" si="3"/>
        <v>0</v>
      </c>
      <c r="AT42" s="5"/>
      <c r="AU42" s="6"/>
      <c r="AV42" s="6"/>
      <c r="AW42" s="10"/>
      <c r="AX42" s="278"/>
      <c r="AY42" s="279"/>
      <c r="AZ42" s="279"/>
      <c r="BA42" s="280"/>
    </row>
    <row r="43" spans="2:53" s="293" customFormat="1" ht="89.25" customHeight="1" x14ac:dyDescent="0.35">
      <c r="B43" s="5"/>
      <c r="C43" s="6"/>
      <c r="D43" s="291" t="s">
        <v>382</v>
      </c>
      <c r="E43" s="6"/>
      <c r="F43" s="6"/>
      <c r="G43" s="6"/>
      <c r="H43" s="6"/>
      <c r="I43" s="6"/>
      <c r="J43" s="9"/>
      <c r="K43" s="287"/>
      <c r="L43" s="288"/>
      <c r="M43" s="289"/>
      <c r="N43" s="6"/>
      <c r="O43" s="8"/>
      <c r="P43" s="437"/>
      <c r="Q43" s="437"/>
      <c r="R43" s="440"/>
      <c r="S43" s="239"/>
      <c r="T43" s="242"/>
      <c r="U43" s="240"/>
      <c r="V43" s="419"/>
      <c r="W43" s="423"/>
      <c r="X43" s="434"/>
      <c r="Y43" s="45"/>
      <c r="Z43" s="41"/>
      <c r="AA43" s="5"/>
      <c r="AB43" s="10"/>
      <c r="AC43" s="9"/>
      <c r="AD43" s="289"/>
      <c r="AE43" s="45"/>
      <c r="AF43" s="45"/>
      <c r="AG43" s="5"/>
      <c r="AH43" s="10"/>
      <c r="AI43" s="222"/>
      <c r="AJ43" s="5"/>
      <c r="AK43" s="6"/>
      <c r="AL43" s="10"/>
      <c r="AM43" s="222"/>
      <c r="AN43" s="45"/>
      <c r="AO43" s="5"/>
      <c r="AP43" s="41"/>
      <c r="AQ43" s="246">
        <f t="shared" si="2"/>
        <v>0</v>
      </c>
      <c r="AR43" s="6"/>
      <c r="AS43" s="244">
        <f t="shared" si="3"/>
        <v>0</v>
      </c>
      <c r="AT43" s="5"/>
      <c r="AU43" s="6"/>
      <c r="AV43" s="6"/>
      <c r="AW43" s="10"/>
      <c r="AX43" s="278"/>
      <c r="AY43" s="279"/>
      <c r="AZ43" s="279"/>
      <c r="BA43" s="280"/>
    </row>
    <row r="44" spans="2:53" s="293" customFormat="1" ht="89.25" customHeight="1" x14ac:dyDescent="0.35">
      <c r="B44" s="5"/>
      <c r="C44" s="6"/>
      <c r="D44" s="291" t="s">
        <v>382</v>
      </c>
      <c r="E44" s="6"/>
      <c r="F44" s="6"/>
      <c r="G44" s="6"/>
      <c r="H44" s="6"/>
      <c r="I44" s="6"/>
      <c r="J44" s="9"/>
      <c r="K44" s="287"/>
      <c r="L44" s="288"/>
      <c r="M44" s="289"/>
      <c r="N44" s="6"/>
      <c r="O44" s="8"/>
      <c r="P44" s="437"/>
      <c r="Q44" s="437"/>
      <c r="R44" s="440"/>
      <c r="S44" s="239"/>
      <c r="T44" s="242"/>
      <c r="U44" s="240"/>
      <c r="V44" s="419"/>
      <c r="W44" s="423"/>
      <c r="X44" s="434"/>
      <c r="Y44" s="45"/>
      <c r="Z44" s="41"/>
      <c r="AA44" s="5"/>
      <c r="AB44" s="10"/>
      <c r="AC44" s="9"/>
      <c r="AD44" s="289"/>
      <c r="AE44" s="45"/>
      <c r="AF44" s="45"/>
      <c r="AG44" s="5"/>
      <c r="AH44" s="10"/>
      <c r="AI44" s="222"/>
      <c r="AJ44" s="5"/>
      <c r="AK44" s="6"/>
      <c r="AL44" s="10"/>
      <c r="AM44" s="222"/>
      <c r="AN44" s="45"/>
      <c r="AO44" s="5"/>
      <c r="AP44" s="41"/>
      <c r="AQ44" s="246">
        <f t="shared" si="2"/>
        <v>0</v>
      </c>
      <c r="AR44" s="6"/>
      <c r="AS44" s="244">
        <f t="shared" si="3"/>
        <v>0</v>
      </c>
      <c r="AT44" s="5"/>
      <c r="AU44" s="6"/>
      <c r="AV44" s="6"/>
      <c r="AW44" s="10"/>
      <c r="AX44" s="278"/>
      <c r="AY44" s="279"/>
      <c r="AZ44" s="279"/>
      <c r="BA44" s="280"/>
    </row>
    <row r="45" spans="2:53" s="293" customFormat="1" ht="89.25" customHeight="1" x14ac:dyDescent="0.35">
      <c r="B45" s="5"/>
      <c r="C45" s="6"/>
      <c r="D45" s="291" t="s">
        <v>382</v>
      </c>
      <c r="E45" s="6"/>
      <c r="F45" s="6"/>
      <c r="G45" s="6"/>
      <c r="H45" s="6"/>
      <c r="I45" s="6"/>
      <c r="J45" s="9"/>
      <c r="K45" s="287"/>
      <c r="L45" s="288"/>
      <c r="M45" s="289"/>
      <c r="N45" s="6"/>
      <c r="O45" s="8"/>
      <c r="P45" s="437"/>
      <c r="Q45" s="437"/>
      <c r="R45" s="440"/>
      <c r="S45" s="239"/>
      <c r="T45" s="242"/>
      <c r="U45" s="240"/>
      <c r="V45" s="419"/>
      <c r="W45" s="423"/>
      <c r="X45" s="434"/>
      <c r="Y45" s="45"/>
      <c r="Z45" s="41"/>
      <c r="AA45" s="5"/>
      <c r="AB45" s="10"/>
      <c r="AC45" s="9"/>
      <c r="AD45" s="289"/>
      <c r="AE45" s="45"/>
      <c r="AF45" s="45"/>
      <c r="AG45" s="5"/>
      <c r="AH45" s="10"/>
      <c r="AI45" s="222"/>
      <c r="AJ45" s="5"/>
      <c r="AK45" s="6"/>
      <c r="AL45" s="10"/>
      <c r="AM45" s="222"/>
      <c r="AN45" s="45"/>
      <c r="AO45" s="5"/>
      <c r="AP45" s="41"/>
      <c r="AQ45" s="246">
        <f t="shared" si="2"/>
        <v>0</v>
      </c>
      <c r="AR45" s="6"/>
      <c r="AS45" s="244">
        <f t="shared" si="3"/>
        <v>0</v>
      </c>
      <c r="AT45" s="5"/>
      <c r="AU45" s="6"/>
      <c r="AV45" s="6"/>
      <c r="AW45" s="10"/>
      <c r="AX45" s="278"/>
      <c r="AY45" s="279"/>
      <c r="AZ45" s="279"/>
      <c r="BA45" s="280"/>
    </row>
    <row r="46" spans="2:53" s="293" customFormat="1" ht="89.25" customHeight="1" x14ac:dyDescent="0.35">
      <c r="B46" s="5"/>
      <c r="C46" s="6"/>
      <c r="D46" s="291" t="s">
        <v>382</v>
      </c>
      <c r="E46" s="6"/>
      <c r="F46" s="6"/>
      <c r="G46" s="6"/>
      <c r="H46" s="6"/>
      <c r="I46" s="6"/>
      <c r="J46" s="9"/>
      <c r="K46" s="287"/>
      <c r="L46" s="288"/>
      <c r="M46" s="289"/>
      <c r="N46" s="6"/>
      <c r="O46" s="8"/>
      <c r="P46" s="437"/>
      <c r="Q46" s="437"/>
      <c r="R46" s="440"/>
      <c r="S46" s="239"/>
      <c r="T46" s="242"/>
      <c r="U46" s="240"/>
      <c r="V46" s="419"/>
      <c r="W46" s="423"/>
      <c r="X46" s="434"/>
      <c r="Y46" s="45"/>
      <c r="Z46" s="41"/>
      <c r="AA46" s="5"/>
      <c r="AB46" s="10"/>
      <c r="AC46" s="9"/>
      <c r="AD46" s="289"/>
      <c r="AE46" s="45"/>
      <c r="AF46" s="45"/>
      <c r="AG46" s="5"/>
      <c r="AH46" s="10"/>
      <c r="AI46" s="222"/>
      <c r="AJ46" s="5"/>
      <c r="AK46" s="6"/>
      <c r="AL46" s="10"/>
      <c r="AM46" s="222"/>
      <c r="AN46" s="45"/>
      <c r="AO46" s="5"/>
      <c r="AP46" s="41"/>
      <c r="AQ46" s="246">
        <f t="shared" si="2"/>
        <v>0</v>
      </c>
      <c r="AR46" s="6"/>
      <c r="AS46" s="244">
        <f t="shared" si="3"/>
        <v>0</v>
      </c>
      <c r="AT46" s="5"/>
      <c r="AU46" s="6"/>
      <c r="AV46" s="6"/>
      <c r="AW46" s="10"/>
      <c r="AX46" s="278"/>
      <c r="AY46" s="279"/>
      <c r="AZ46" s="279"/>
      <c r="BA46" s="280"/>
    </row>
    <row r="47" spans="2:53" s="293" customFormat="1" ht="89.25" customHeight="1" x14ac:dyDescent="0.35">
      <c r="B47" s="5"/>
      <c r="C47" s="6"/>
      <c r="D47" s="291" t="s">
        <v>382</v>
      </c>
      <c r="E47" s="6"/>
      <c r="F47" s="6"/>
      <c r="G47" s="6"/>
      <c r="H47" s="6"/>
      <c r="I47" s="6"/>
      <c r="J47" s="9"/>
      <c r="K47" s="287"/>
      <c r="L47" s="288"/>
      <c r="M47" s="289"/>
      <c r="N47" s="6"/>
      <c r="O47" s="8"/>
      <c r="P47" s="437"/>
      <c r="Q47" s="437"/>
      <c r="R47" s="440"/>
      <c r="S47" s="239"/>
      <c r="T47" s="242"/>
      <c r="U47" s="240"/>
      <c r="V47" s="419"/>
      <c r="W47" s="423"/>
      <c r="X47" s="434"/>
      <c r="Y47" s="45"/>
      <c r="Z47" s="41"/>
      <c r="AA47" s="5"/>
      <c r="AB47" s="10"/>
      <c r="AC47" s="9"/>
      <c r="AD47" s="289"/>
      <c r="AE47" s="45"/>
      <c r="AF47" s="45"/>
      <c r="AG47" s="5"/>
      <c r="AH47" s="10"/>
      <c r="AI47" s="222"/>
      <c r="AJ47" s="5"/>
      <c r="AK47" s="6"/>
      <c r="AL47" s="10"/>
      <c r="AM47" s="222"/>
      <c r="AN47" s="45"/>
      <c r="AO47" s="5"/>
      <c r="AP47" s="41"/>
      <c r="AQ47" s="246">
        <f t="shared" si="2"/>
        <v>0</v>
      </c>
      <c r="AR47" s="6"/>
      <c r="AS47" s="244">
        <f t="shared" si="3"/>
        <v>0</v>
      </c>
      <c r="AT47" s="5"/>
      <c r="AU47" s="6"/>
      <c r="AV47" s="6"/>
      <c r="AW47" s="10"/>
      <c r="AX47" s="278"/>
      <c r="AY47" s="279"/>
      <c r="AZ47" s="279"/>
      <c r="BA47" s="280"/>
    </row>
    <row r="48" spans="2:53" s="293" customFormat="1" ht="89.25" customHeight="1" x14ac:dyDescent="0.35">
      <c r="B48" s="5"/>
      <c r="C48" s="6"/>
      <c r="D48" s="291" t="s">
        <v>382</v>
      </c>
      <c r="E48" s="6"/>
      <c r="F48" s="6"/>
      <c r="G48" s="6"/>
      <c r="H48" s="6"/>
      <c r="I48" s="6"/>
      <c r="J48" s="9"/>
      <c r="K48" s="287"/>
      <c r="L48" s="288"/>
      <c r="M48" s="289"/>
      <c r="N48" s="6"/>
      <c r="O48" s="8"/>
      <c r="P48" s="437"/>
      <c r="Q48" s="437"/>
      <c r="R48" s="440"/>
      <c r="S48" s="239"/>
      <c r="T48" s="242"/>
      <c r="U48" s="240"/>
      <c r="V48" s="419"/>
      <c r="W48" s="423"/>
      <c r="X48" s="434"/>
      <c r="Y48" s="45"/>
      <c r="Z48" s="41"/>
      <c r="AA48" s="5"/>
      <c r="AB48" s="10"/>
      <c r="AC48" s="9"/>
      <c r="AD48" s="289"/>
      <c r="AE48" s="45"/>
      <c r="AF48" s="45"/>
      <c r="AG48" s="5"/>
      <c r="AH48" s="10"/>
      <c r="AI48" s="222"/>
      <c r="AJ48" s="5"/>
      <c r="AK48" s="6"/>
      <c r="AL48" s="10"/>
      <c r="AM48" s="222"/>
      <c r="AN48" s="45"/>
      <c r="AO48" s="5"/>
      <c r="AP48" s="41"/>
      <c r="AQ48" s="246">
        <f t="shared" si="2"/>
        <v>0</v>
      </c>
      <c r="AR48" s="6"/>
      <c r="AS48" s="244">
        <f t="shared" si="3"/>
        <v>0</v>
      </c>
      <c r="AT48" s="5"/>
      <c r="AU48" s="6"/>
      <c r="AV48" s="6"/>
      <c r="AW48" s="10"/>
      <c r="AX48" s="278"/>
      <c r="AY48" s="279"/>
      <c r="AZ48" s="279"/>
      <c r="BA48" s="280"/>
    </row>
    <row r="49" spans="2:53" s="293" customFormat="1" ht="89.25" customHeight="1" x14ac:dyDescent="0.35">
      <c r="B49" s="5"/>
      <c r="C49" s="6"/>
      <c r="D49" s="291" t="s">
        <v>382</v>
      </c>
      <c r="E49" s="6"/>
      <c r="F49" s="6"/>
      <c r="G49" s="6"/>
      <c r="H49" s="6"/>
      <c r="I49" s="6"/>
      <c r="J49" s="9"/>
      <c r="K49" s="287"/>
      <c r="L49" s="288"/>
      <c r="M49" s="289"/>
      <c r="N49" s="6"/>
      <c r="O49" s="8"/>
      <c r="P49" s="437"/>
      <c r="Q49" s="437"/>
      <c r="R49" s="440"/>
      <c r="S49" s="239"/>
      <c r="T49" s="242"/>
      <c r="U49" s="240"/>
      <c r="V49" s="419"/>
      <c r="W49" s="423"/>
      <c r="X49" s="434"/>
      <c r="Y49" s="45"/>
      <c r="Z49" s="41"/>
      <c r="AA49" s="5"/>
      <c r="AB49" s="10"/>
      <c r="AC49" s="9"/>
      <c r="AD49" s="289"/>
      <c r="AE49" s="45"/>
      <c r="AF49" s="45"/>
      <c r="AG49" s="5"/>
      <c r="AH49" s="10"/>
      <c r="AI49" s="222"/>
      <c r="AJ49" s="5"/>
      <c r="AK49" s="6"/>
      <c r="AL49" s="10"/>
      <c r="AM49" s="222"/>
      <c r="AN49" s="45"/>
      <c r="AO49" s="5"/>
      <c r="AP49" s="41"/>
      <c r="AQ49" s="246">
        <f t="shared" si="2"/>
        <v>0</v>
      </c>
      <c r="AR49" s="6"/>
      <c r="AS49" s="244">
        <f t="shared" si="3"/>
        <v>0</v>
      </c>
      <c r="AT49" s="5"/>
      <c r="AU49" s="6"/>
      <c r="AV49" s="6"/>
      <c r="AW49" s="10"/>
      <c r="AX49" s="278"/>
      <c r="AY49" s="279"/>
      <c r="AZ49" s="279"/>
      <c r="BA49" s="280"/>
    </row>
    <row r="50" spans="2:53" s="293" customFormat="1" ht="89.25" customHeight="1" x14ac:dyDescent="0.35">
      <c r="B50" s="5"/>
      <c r="C50" s="6"/>
      <c r="D50" s="291" t="s">
        <v>382</v>
      </c>
      <c r="E50" s="6"/>
      <c r="F50" s="6"/>
      <c r="G50" s="6"/>
      <c r="H50" s="6"/>
      <c r="I50" s="6"/>
      <c r="J50" s="9"/>
      <c r="K50" s="287"/>
      <c r="L50" s="288"/>
      <c r="M50" s="289"/>
      <c r="N50" s="6"/>
      <c r="O50" s="8"/>
      <c r="P50" s="437"/>
      <c r="Q50" s="437"/>
      <c r="R50" s="440"/>
      <c r="S50" s="239"/>
      <c r="T50" s="242"/>
      <c r="U50" s="240"/>
      <c r="V50" s="419"/>
      <c r="W50" s="423"/>
      <c r="X50" s="434"/>
      <c r="Y50" s="45"/>
      <c r="Z50" s="41"/>
      <c r="AA50" s="5"/>
      <c r="AB50" s="10"/>
      <c r="AC50" s="9"/>
      <c r="AD50" s="289"/>
      <c r="AE50" s="45"/>
      <c r="AF50" s="45"/>
      <c r="AG50" s="5"/>
      <c r="AH50" s="10"/>
      <c r="AI50" s="222"/>
      <c r="AJ50" s="5"/>
      <c r="AK50" s="6"/>
      <c r="AL50" s="10"/>
      <c r="AM50" s="222"/>
      <c r="AN50" s="45"/>
      <c r="AO50" s="5"/>
      <c r="AP50" s="41"/>
      <c r="AQ50" s="246">
        <f t="shared" si="2"/>
        <v>0</v>
      </c>
      <c r="AR50" s="6"/>
      <c r="AS50" s="244">
        <f t="shared" si="3"/>
        <v>0</v>
      </c>
      <c r="AT50" s="5"/>
      <c r="AU50" s="6"/>
      <c r="AV50" s="6"/>
      <c r="AW50" s="10"/>
      <c r="AX50" s="278"/>
      <c r="AY50" s="279"/>
      <c r="AZ50" s="279"/>
      <c r="BA50" s="280"/>
    </row>
    <row r="51" spans="2:53" s="293" customFormat="1" ht="89.25" customHeight="1" x14ac:dyDescent="0.35">
      <c r="B51" s="5"/>
      <c r="C51" s="6"/>
      <c r="D51" s="291" t="s">
        <v>382</v>
      </c>
      <c r="E51" s="6"/>
      <c r="F51" s="6"/>
      <c r="G51" s="6"/>
      <c r="H51" s="6"/>
      <c r="I51" s="6"/>
      <c r="J51" s="9"/>
      <c r="K51" s="294"/>
      <c r="L51" s="295"/>
      <c r="M51" s="296"/>
      <c r="N51" s="6"/>
      <c r="O51" s="8"/>
      <c r="P51" s="437"/>
      <c r="Q51" s="437"/>
      <c r="R51" s="440"/>
      <c r="S51" s="239"/>
      <c r="T51" s="242"/>
      <c r="U51" s="240"/>
      <c r="V51" s="419"/>
      <c r="W51" s="423"/>
      <c r="X51" s="434"/>
      <c r="Y51" s="45"/>
      <c r="Z51" s="41"/>
      <c r="AA51" s="5"/>
      <c r="AB51" s="10"/>
      <c r="AC51" s="9"/>
      <c r="AD51" s="296"/>
      <c r="AE51" s="45"/>
      <c r="AF51" s="45"/>
      <c r="AG51" s="5"/>
      <c r="AH51" s="10"/>
      <c r="AI51" s="222"/>
      <c r="AJ51" s="5"/>
      <c r="AK51" s="6"/>
      <c r="AL51" s="10"/>
      <c r="AM51" s="222"/>
      <c r="AN51" s="45"/>
      <c r="AO51" s="5"/>
      <c r="AP51" s="41"/>
      <c r="AQ51" s="246">
        <f t="shared" si="2"/>
        <v>0</v>
      </c>
      <c r="AR51" s="6"/>
      <c r="AS51" s="244">
        <f t="shared" si="3"/>
        <v>0</v>
      </c>
      <c r="AT51" s="5"/>
      <c r="AU51" s="6"/>
      <c r="AV51" s="6"/>
      <c r="AW51" s="10"/>
      <c r="AX51" s="278"/>
      <c r="AY51" s="279"/>
      <c r="AZ51" s="279"/>
      <c r="BA51" s="280"/>
    </row>
    <row r="52" spans="2:53" s="293" customFormat="1" ht="89.25" customHeight="1" x14ac:dyDescent="0.35">
      <c r="B52" s="5"/>
      <c r="C52" s="6"/>
      <c r="D52" s="291" t="s">
        <v>382</v>
      </c>
      <c r="E52" s="6"/>
      <c r="F52" s="6"/>
      <c r="G52" s="6"/>
      <c r="H52" s="6"/>
      <c r="I52" s="6"/>
      <c r="J52" s="9"/>
      <c r="K52" s="294"/>
      <c r="L52" s="295"/>
      <c r="M52" s="296"/>
      <c r="N52" s="6"/>
      <c r="O52" s="8"/>
      <c r="P52" s="437"/>
      <c r="Q52" s="437"/>
      <c r="R52" s="440"/>
      <c r="S52" s="239"/>
      <c r="T52" s="242"/>
      <c r="U52" s="240"/>
      <c r="V52" s="419"/>
      <c r="W52" s="423"/>
      <c r="X52" s="434"/>
      <c r="Y52" s="45"/>
      <c r="Z52" s="41"/>
      <c r="AA52" s="5"/>
      <c r="AB52" s="10"/>
      <c r="AC52" s="9"/>
      <c r="AD52" s="296"/>
      <c r="AE52" s="45"/>
      <c r="AF52" s="45"/>
      <c r="AG52" s="5"/>
      <c r="AH52" s="10"/>
      <c r="AI52" s="222"/>
      <c r="AJ52" s="5"/>
      <c r="AK52" s="6"/>
      <c r="AL52" s="10"/>
      <c r="AM52" s="222"/>
      <c r="AN52" s="45"/>
      <c r="AO52" s="5"/>
      <c r="AP52" s="41"/>
      <c r="AQ52" s="246">
        <f t="shared" si="2"/>
        <v>0</v>
      </c>
      <c r="AR52" s="6"/>
      <c r="AS52" s="244">
        <f t="shared" si="3"/>
        <v>0</v>
      </c>
      <c r="AT52" s="5"/>
      <c r="AU52" s="6"/>
      <c r="AV52" s="6"/>
      <c r="AW52" s="10"/>
      <c r="AX52" s="278"/>
      <c r="AY52" s="279"/>
      <c r="AZ52" s="279"/>
      <c r="BA52" s="280"/>
    </row>
    <row r="53" spans="2:53" s="293" customFormat="1" ht="89.25" customHeight="1" x14ac:dyDescent="0.35">
      <c r="B53" s="5"/>
      <c r="C53" s="6"/>
      <c r="D53" s="291" t="s">
        <v>382</v>
      </c>
      <c r="E53" s="6"/>
      <c r="F53" s="6"/>
      <c r="G53" s="6"/>
      <c r="H53" s="6"/>
      <c r="I53" s="6"/>
      <c r="J53" s="9"/>
      <c r="K53" s="294"/>
      <c r="L53" s="295"/>
      <c r="M53" s="296"/>
      <c r="N53" s="6"/>
      <c r="O53" s="8"/>
      <c r="P53" s="437"/>
      <c r="Q53" s="437"/>
      <c r="R53" s="440"/>
      <c r="S53" s="239"/>
      <c r="T53" s="242"/>
      <c r="U53" s="240"/>
      <c r="V53" s="419"/>
      <c r="W53" s="423"/>
      <c r="X53" s="434"/>
      <c r="Y53" s="45"/>
      <c r="Z53" s="41"/>
      <c r="AA53" s="5"/>
      <c r="AB53" s="10"/>
      <c r="AC53" s="9"/>
      <c r="AD53" s="296"/>
      <c r="AE53" s="45"/>
      <c r="AF53" s="45"/>
      <c r="AG53" s="5"/>
      <c r="AH53" s="10"/>
      <c r="AI53" s="222"/>
      <c r="AJ53" s="5"/>
      <c r="AK53" s="6"/>
      <c r="AL53" s="10"/>
      <c r="AM53" s="222"/>
      <c r="AN53" s="45"/>
      <c r="AO53" s="5"/>
      <c r="AP53" s="41"/>
      <c r="AQ53" s="246">
        <f t="shared" si="2"/>
        <v>0</v>
      </c>
      <c r="AR53" s="6"/>
      <c r="AS53" s="244">
        <f t="shared" si="3"/>
        <v>0</v>
      </c>
      <c r="AT53" s="5"/>
      <c r="AU53" s="6"/>
      <c r="AV53" s="6"/>
      <c r="AW53" s="10"/>
      <c r="AX53" s="278"/>
      <c r="AY53" s="279"/>
      <c r="AZ53" s="279"/>
      <c r="BA53" s="280"/>
    </row>
    <row r="54" spans="2:53" s="293" customFormat="1" ht="89.25" customHeight="1" x14ac:dyDescent="0.35">
      <c r="B54" s="5"/>
      <c r="C54" s="6"/>
      <c r="D54" s="291" t="s">
        <v>382</v>
      </c>
      <c r="E54" s="6"/>
      <c r="F54" s="6"/>
      <c r="G54" s="6"/>
      <c r="H54" s="6"/>
      <c r="I54" s="6"/>
      <c r="J54" s="9"/>
      <c r="K54" s="294"/>
      <c r="L54" s="295"/>
      <c r="M54" s="296"/>
      <c r="N54" s="6"/>
      <c r="O54" s="8"/>
      <c r="P54" s="437"/>
      <c r="Q54" s="437"/>
      <c r="R54" s="440"/>
      <c r="S54" s="239"/>
      <c r="T54" s="242"/>
      <c r="U54" s="240"/>
      <c r="V54" s="419"/>
      <c r="W54" s="423"/>
      <c r="X54" s="434"/>
      <c r="Y54" s="45"/>
      <c r="Z54" s="41"/>
      <c r="AA54" s="5"/>
      <c r="AB54" s="10"/>
      <c r="AC54" s="9"/>
      <c r="AD54" s="296"/>
      <c r="AE54" s="45"/>
      <c r="AF54" s="45"/>
      <c r="AG54" s="5"/>
      <c r="AH54" s="10"/>
      <c r="AI54" s="222"/>
      <c r="AJ54" s="5"/>
      <c r="AK54" s="6"/>
      <c r="AL54" s="10"/>
      <c r="AM54" s="222"/>
      <c r="AN54" s="45"/>
      <c r="AO54" s="5"/>
      <c r="AP54" s="41"/>
      <c r="AQ54" s="246">
        <f t="shared" si="2"/>
        <v>0</v>
      </c>
      <c r="AR54" s="6"/>
      <c r="AS54" s="244">
        <f t="shared" si="3"/>
        <v>0</v>
      </c>
      <c r="AT54" s="5"/>
      <c r="AU54" s="6"/>
      <c r="AV54" s="6"/>
      <c r="AW54" s="10"/>
      <c r="AX54" s="278"/>
      <c r="AY54" s="279"/>
      <c r="AZ54" s="279"/>
      <c r="BA54" s="280"/>
    </row>
    <row r="55" spans="2:53" s="293" customFormat="1" ht="89.25" customHeight="1" x14ac:dyDescent="0.35">
      <c r="B55" s="5"/>
      <c r="C55" s="6"/>
      <c r="D55" s="291" t="s">
        <v>382</v>
      </c>
      <c r="E55" s="6"/>
      <c r="F55" s="6"/>
      <c r="G55" s="6"/>
      <c r="H55" s="6"/>
      <c r="I55" s="6"/>
      <c r="J55" s="9"/>
      <c r="K55" s="294"/>
      <c r="L55" s="295"/>
      <c r="M55" s="296"/>
      <c r="N55" s="6"/>
      <c r="O55" s="8"/>
      <c r="P55" s="437"/>
      <c r="Q55" s="437"/>
      <c r="R55" s="440"/>
      <c r="S55" s="239"/>
      <c r="T55" s="242"/>
      <c r="U55" s="240"/>
      <c r="V55" s="419"/>
      <c r="W55" s="423"/>
      <c r="X55" s="434"/>
      <c r="Y55" s="45"/>
      <c r="Z55" s="41"/>
      <c r="AA55" s="5"/>
      <c r="AB55" s="10"/>
      <c r="AC55" s="9"/>
      <c r="AD55" s="296"/>
      <c r="AE55" s="45"/>
      <c r="AF55" s="45"/>
      <c r="AG55" s="5"/>
      <c r="AH55" s="10"/>
      <c r="AI55" s="222"/>
      <c r="AJ55" s="5"/>
      <c r="AK55" s="6"/>
      <c r="AL55" s="10"/>
      <c r="AM55" s="222"/>
      <c r="AN55" s="45"/>
      <c r="AO55" s="5"/>
      <c r="AP55" s="41"/>
      <c r="AQ55" s="246">
        <f t="shared" si="2"/>
        <v>0</v>
      </c>
      <c r="AR55" s="6"/>
      <c r="AS55" s="244">
        <f t="shared" si="3"/>
        <v>0</v>
      </c>
      <c r="AT55" s="5"/>
      <c r="AU55" s="6"/>
      <c r="AV55" s="6"/>
      <c r="AW55" s="10"/>
      <c r="AX55" s="278"/>
      <c r="AY55" s="279"/>
      <c r="AZ55" s="279"/>
      <c r="BA55" s="280"/>
    </row>
    <row r="56" spans="2:53" s="293" customFormat="1" ht="89.25" customHeight="1" x14ac:dyDescent="0.35">
      <c r="B56" s="5"/>
      <c r="C56" s="6"/>
      <c r="D56" s="291" t="s">
        <v>382</v>
      </c>
      <c r="E56" s="6"/>
      <c r="F56" s="6"/>
      <c r="G56" s="6"/>
      <c r="H56" s="6"/>
      <c r="I56" s="6"/>
      <c r="J56" s="9"/>
      <c r="K56" s="294"/>
      <c r="L56" s="295"/>
      <c r="M56" s="296"/>
      <c r="N56" s="6"/>
      <c r="O56" s="8"/>
      <c r="P56" s="437"/>
      <c r="Q56" s="437"/>
      <c r="R56" s="440"/>
      <c r="S56" s="239"/>
      <c r="T56" s="242"/>
      <c r="U56" s="240"/>
      <c r="V56" s="419"/>
      <c r="W56" s="423"/>
      <c r="X56" s="434"/>
      <c r="Y56" s="45"/>
      <c r="Z56" s="41"/>
      <c r="AA56" s="5"/>
      <c r="AB56" s="10"/>
      <c r="AC56" s="9"/>
      <c r="AD56" s="296"/>
      <c r="AE56" s="45"/>
      <c r="AF56" s="45"/>
      <c r="AG56" s="5"/>
      <c r="AH56" s="10"/>
      <c r="AI56" s="222"/>
      <c r="AJ56" s="5"/>
      <c r="AK56" s="6"/>
      <c r="AL56" s="10"/>
      <c r="AM56" s="222"/>
      <c r="AN56" s="45"/>
      <c r="AO56" s="5"/>
      <c r="AP56" s="41"/>
      <c r="AQ56" s="246">
        <f t="shared" si="2"/>
        <v>0</v>
      </c>
      <c r="AR56" s="6"/>
      <c r="AS56" s="244">
        <f t="shared" si="3"/>
        <v>0</v>
      </c>
      <c r="AT56" s="5"/>
      <c r="AU56" s="6"/>
      <c r="AV56" s="6"/>
      <c r="AW56" s="10"/>
      <c r="AX56" s="278"/>
      <c r="AY56" s="279"/>
      <c r="AZ56" s="279"/>
      <c r="BA56" s="280"/>
    </row>
    <row r="57" spans="2:53" s="293" customFormat="1" ht="89.25" customHeight="1" x14ac:dyDescent="0.35">
      <c r="B57" s="5"/>
      <c r="C57" s="6"/>
      <c r="D57" s="291" t="s">
        <v>382</v>
      </c>
      <c r="E57" s="6"/>
      <c r="F57" s="6"/>
      <c r="G57" s="6"/>
      <c r="H57" s="6"/>
      <c r="I57" s="6"/>
      <c r="J57" s="9"/>
      <c r="K57" s="294"/>
      <c r="L57" s="295"/>
      <c r="M57" s="296"/>
      <c r="N57" s="6"/>
      <c r="O57" s="8"/>
      <c r="P57" s="437"/>
      <c r="Q57" s="437"/>
      <c r="R57" s="440"/>
      <c r="S57" s="239"/>
      <c r="T57" s="242"/>
      <c r="U57" s="240"/>
      <c r="V57" s="419"/>
      <c r="W57" s="423"/>
      <c r="X57" s="434"/>
      <c r="Y57" s="45"/>
      <c r="Z57" s="41"/>
      <c r="AA57" s="5"/>
      <c r="AB57" s="10"/>
      <c r="AC57" s="9"/>
      <c r="AD57" s="296"/>
      <c r="AE57" s="45"/>
      <c r="AF57" s="45"/>
      <c r="AG57" s="5"/>
      <c r="AH57" s="10"/>
      <c r="AI57" s="222"/>
      <c r="AJ57" s="5"/>
      <c r="AK57" s="6"/>
      <c r="AL57" s="10"/>
      <c r="AM57" s="222"/>
      <c r="AN57" s="45"/>
      <c r="AO57" s="5"/>
      <c r="AP57" s="41"/>
      <c r="AQ57" s="246">
        <f t="shared" si="2"/>
        <v>0</v>
      </c>
      <c r="AR57" s="6"/>
      <c r="AS57" s="244">
        <f t="shared" si="3"/>
        <v>0</v>
      </c>
      <c r="AT57" s="5"/>
      <c r="AU57" s="6"/>
      <c r="AV57" s="6"/>
      <c r="AW57" s="10"/>
      <c r="AX57" s="278"/>
      <c r="AY57" s="279"/>
      <c r="AZ57" s="279"/>
      <c r="BA57" s="280"/>
    </row>
    <row r="58" spans="2:53" s="293" customFormat="1" ht="89.25" customHeight="1" x14ac:dyDescent="0.35">
      <c r="B58" s="5"/>
      <c r="C58" s="6"/>
      <c r="D58" s="291" t="s">
        <v>382</v>
      </c>
      <c r="E58" s="6"/>
      <c r="F58" s="6"/>
      <c r="G58" s="6"/>
      <c r="H58" s="6"/>
      <c r="I58" s="6"/>
      <c r="J58" s="9"/>
      <c r="K58" s="294"/>
      <c r="L58" s="295"/>
      <c r="M58" s="296"/>
      <c r="N58" s="6"/>
      <c r="O58" s="8"/>
      <c r="P58" s="437"/>
      <c r="Q58" s="437"/>
      <c r="R58" s="440"/>
      <c r="S58" s="239"/>
      <c r="T58" s="242"/>
      <c r="U58" s="240"/>
      <c r="V58" s="419"/>
      <c r="W58" s="423"/>
      <c r="X58" s="434"/>
      <c r="Y58" s="45"/>
      <c r="Z58" s="41"/>
      <c r="AA58" s="5"/>
      <c r="AB58" s="10"/>
      <c r="AC58" s="9"/>
      <c r="AD58" s="296"/>
      <c r="AE58" s="45"/>
      <c r="AF58" s="45"/>
      <c r="AG58" s="5"/>
      <c r="AH58" s="10"/>
      <c r="AI58" s="222"/>
      <c r="AJ58" s="5"/>
      <c r="AK58" s="6"/>
      <c r="AL58" s="10"/>
      <c r="AM58" s="222"/>
      <c r="AN58" s="45"/>
      <c r="AO58" s="5"/>
      <c r="AP58" s="41"/>
      <c r="AQ58" s="246">
        <f t="shared" si="2"/>
        <v>0</v>
      </c>
      <c r="AR58" s="6"/>
      <c r="AS58" s="244">
        <f t="shared" si="3"/>
        <v>0</v>
      </c>
      <c r="AT58" s="5"/>
      <c r="AU58" s="6"/>
      <c r="AV58" s="6"/>
      <c r="AW58" s="10"/>
      <c r="AX58" s="278"/>
      <c r="AY58" s="279"/>
      <c r="AZ58" s="279"/>
      <c r="BA58" s="280"/>
    </row>
    <row r="59" spans="2:53" s="293" customFormat="1" ht="89.25" customHeight="1" x14ac:dyDescent="0.35">
      <c r="B59" s="5"/>
      <c r="C59" s="6"/>
      <c r="D59" s="291" t="s">
        <v>382</v>
      </c>
      <c r="E59" s="6"/>
      <c r="F59" s="6"/>
      <c r="G59" s="6"/>
      <c r="H59" s="6"/>
      <c r="I59" s="6"/>
      <c r="J59" s="9"/>
      <c r="K59" s="294"/>
      <c r="L59" s="295"/>
      <c r="M59" s="296"/>
      <c r="N59" s="6"/>
      <c r="O59" s="8"/>
      <c r="P59" s="437"/>
      <c r="Q59" s="437"/>
      <c r="R59" s="440"/>
      <c r="S59" s="239"/>
      <c r="T59" s="242"/>
      <c r="U59" s="240"/>
      <c r="V59" s="419"/>
      <c r="W59" s="423"/>
      <c r="X59" s="434"/>
      <c r="Y59" s="45"/>
      <c r="Z59" s="41"/>
      <c r="AA59" s="5"/>
      <c r="AB59" s="10"/>
      <c r="AC59" s="9"/>
      <c r="AD59" s="296"/>
      <c r="AE59" s="45"/>
      <c r="AF59" s="45"/>
      <c r="AG59" s="5"/>
      <c r="AH59" s="10"/>
      <c r="AI59" s="222"/>
      <c r="AJ59" s="5"/>
      <c r="AK59" s="6"/>
      <c r="AL59" s="10"/>
      <c r="AM59" s="222"/>
      <c r="AN59" s="45"/>
      <c r="AO59" s="5"/>
      <c r="AP59" s="41"/>
      <c r="AQ59" s="246">
        <f t="shared" si="2"/>
        <v>0</v>
      </c>
      <c r="AR59" s="6"/>
      <c r="AS59" s="244">
        <f t="shared" si="3"/>
        <v>0</v>
      </c>
      <c r="AT59" s="5"/>
      <c r="AU59" s="6"/>
      <c r="AV59" s="6"/>
      <c r="AW59" s="10"/>
      <c r="AX59" s="278"/>
      <c r="AY59" s="279"/>
      <c r="AZ59" s="279"/>
      <c r="BA59" s="280"/>
    </row>
    <row r="60" spans="2:53" s="293" customFormat="1" ht="89.25" customHeight="1" thickBot="1" x14ac:dyDescent="0.4">
      <c r="B60" s="235"/>
      <c r="C60" s="272"/>
      <c r="D60" s="292" t="s">
        <v>382</v>
      </c>
      <c r="E60" s="272"/>
      <c r="F60" s="272"/>
      <c r="G60" s="272"/>
      <c r="H60" s="272"/>
      <c r="I60" s="272"/>
      <c r="J60" s="297"/>
      <c r="K60" s="298"/>
      <c r="L60" s="299"/>
      <c r="M60" s="300"/>
      <c r="N60" s="272"/>
      <c r="O60" s="301"/>
      <c r="P60" s="443"/>
      <c r="Q60" s="282"/>
      <c r="R60" s="442"/>
      <c r="S60" s="273"/>
      <c r="T60" s="243"/>
      <c r="U60" s="274"/>
      <c r="V60" s="420"/>
      <c r="W60" s="424"/>
      <c r="X60" s="435"/>
      <c r="Y60" s="237"/>
      <c r="Z60" s="275"/>
      <c r="AA60" s="235"/>
      <c r="AB60" s="236"/>
      <c r="AC60" s="297"/>
      <c r="AD60" s="300"/>
      <c r="AE60" s="237"/>
      <c r="AF60" s="237"/>
      <c r="AG60" s="235"/>
      <c r="AH60" s="236"/>
      <c r="AI60" s="302"/>
      <c r="AJ60" s="235"/>
      <c r="AK60" s="272"/>
      <c r="AL60" s="236"/>
      <c r="AM60" s="302"/>
      <c r="AN60" s="237"/>
      <c r="AO60" s="235"/>
      <c r="AP60" s="275"/>
      <c r="AQ60" s="247">
        <f t="shared" si="2"/>
        <v>0</v>
      </c>
      <c r="AR60" s="272"/>
      <c r="AS60" s="245">
        <f t="shared" si="3"/>
        <v>0</v>
      </c>
      <c r="AT60" s="235"/>
      <c r="AU60" s="272"/>
      <c r="AV60" s="272"/>
      <c r="AW60" s="236"/>
      <c r="AX60" s="281"/>
      <c r="AY60" s="282"/>
      <c r="AZ60" s="282"/>
      <c r="BA60" s="283"/>
    </row>
  </sheetData>
  <sheetProtection algorithmName="SHA-512" hashValue="d7HciEyu03qYvikEu1iowR7ht5EahGhJbvjPJyUFeSGylg/yB3eL2Z9k2rWJxjSy4RvRFZIyMo3jrI3VKmklWg==" saltValue="Y4YV2AcDvRPDUBKsG8Tr+g==" spinCount="100000" sheet="1" formatCells="0" formatColumns="0" formatRows="0" insertRows="0"/>
  <mergeCells count="16">
    <mergeCell ref="F8:I8"/>
    <mergeCell ref="K7:M8"/>
    <mergeCell ref="B7:J7"/>
    <mergeCell ref="AX7:BA8"/>
    <mergeCell ref="AE7:AW7"/>
    <mergeCell ref="S7:AD7"/>
    <mergeCell ref="AA8:AB8"/>
    <mergeCell ref="AC8:AD8"/>
    <mergeCell ref="V8:X8"/>
    <mergeCell ref="N7:R8"/>
    <mergeCell ref="AO9:AQ9"/>
    <mergeCell ref="AT8:AW8"/>
    <mergeCell ref="AG8:AH8"/>
    <mergeCell ref="AJ8:AL8"/>
    <mergeCell ref="AR9:AS9"/>
    <mergeCell ref="AO8:AS8"/>
  </mergeCells>
  <conditionalFormatting sqref="Q11:Q60">
    <cfRule type="expression" dxfId="21" priority="1">
      <formula>IF(AND($P11="More than one of the above"),$Q11="")</formula>
    </cfRule>
  </conditionalFormatting>
  <conditionalFormatting sqref="W11:W60">
    <cfRule type="expression" dxfId="20" priority="8">
      <formula>IF(AND($V11="Yes - designed to be used for a short time and then disposed"),$W11="")</formula>
    </cfRule>
  </conditionalFormatting>
  <conditionalFormatting sqref="X11:X60">
    <cfRule type="expression" dxfId="19" priority="7">
      <formula>IF(AND($V11="Yes - designed to be used for a short time and then disposed"),$X11="")</formula>
    </cfRule>
  </conditionalFormatting>
  <conditionalFormatting sqref="AH11:AH60">
    <cfRule type="expression" dxfId="18" priority="15">
      <formula>IF(AND($AG11="No"),$AH11="")</formula>
    </cfRule>
  </conditionalFormatting>
  <conditionalFormatting sqref="AV11:AV60">
    <cfRule type="expression" dxfId="17" priority="10">
      <formula>IF(AND($AU11="Other"),$AV11="")</formula>
    </cfRule>
  </conditionalFormatting>
  <conditionalFormatting sqref="AX10:BA34">
    <cfRule type="expression" dxfId="16" priority="25">
      <formula>IF(AND(AT11="No"),AX10="")</formula>
    </cfRule>
  </conditionalFormatting>
  <conditionalFormatting sqref="AX10:BA60">
    <cfRule type="expression" dxfId="15" priority="26" stopIfTrue="1">
      <formula>AT11="Yes"</formula>
    </cfRule>
  </conditionalFormatting>
  <conditionalFormatting sqref="AX36:BA59">
    <cfRule type="expression" dxfId="14" priority="9">
      <formula>IF(AND(AT37="No"),AX36="")</formula>
    </cfRule>
  </conditionalFormatting>
  <dataValidations xWindow="549" yWindow="500" count="21">
    <dataValidation type="textLength" operator="lessThan" allowBlank="1" showInputMessage="1" showErrorMessage="1" sqref="A7" xr:uid="{00000000-0002-0000-0100-000000000000}">
      <formula1>0</formula1>
    </dataValidation>
    <dataValidation type="list" allowBlank="1" showInputMessage="1" showErrorMessage="1" sqref="N11:N60" xr:uid="{00000000-0002-0000-0100-000001000000}">
      <formula1>placement1</formula1>
    </dataValidation>
    <dataValidation type="list" allowBlank="1" showInputMessage="1" showErrorMessage="1" sqref="Y11:Y60" xr:uid="{00000000-0002-0000-0100-000002000000}">
      <formula1>paper2</formula1>
    </dataValidation>
    <dataValidation type="list" allowBlank="1" showInputMessage="1" showErrorMessage="1" promptTitle="WOOD PRODUCTS" prompt="*Provide additional info in &quot;Lacey&quot; tab" sqref="S12:S35 S37:S60" xr:uid="{00000000-0002-0000-0100-000003000000}">
      <formula1>wood1</formula1>
    </dataValidation>
    <dataValidation type="list" allowBlank="1" showErrorMessage="1" promptTitle="WOOD PRODUCTS" prompt="*Provide additional info in &quot;Lacey&quot; tab" sqref="S11 S36" xr:uid="{20EDE9B2-2011-4E46-96C6-015DD4602724}">
      <formula1>wood1</formula1>
    </dataValidation>
    <dataValidation operator="lessThan" allowBlank="1" showInputMessage="1" showErrorMessage="1" sqref="AX9:BA10 AX7 M9 W9:W10 X10 V10 A1:XFD6 P9:Q10" xr:uid="{A2C4C503-9FC7-4B73-9082-117A79891472}"/>
    <dataValidation type="list" allowBlank="1" showInputMessage="1" showErrorMessage="1" sqref="U11:U65463 V61:X65463" xr:uid="{00000000-0002-0000-0100-000004000000}">
      <formula1>metalnew</formula1>
    </dataValidation>
    <dataValidation allowBlank="1" showInputMessage="1" showErrorMessage="1" prompt="TSCA Tab must also be completed for Household Cleaners." sqref="AM11:AM500" xr:uid="{00000000-0002-0000-0100-000006000000}"/>
    <dataValidation operator="lessThanOrEqual" allowBlank="1" showInputMessage="1" showErrorMessage="1" sqref="AJ61:AL65463 AI11:AI65463 AE11:AF65463" xr:uid="{00000000-0002-0000-0100-000005000000}"/>
    <dataValidation allowBlank="1" showErrorMessage="1" sqref="AI11:AI1048576" xr:uid="{D3DFD4CC-E0A9-470D-92FE-32991311DF72}"/>
    <dataValidation type="list" allowBlank="1" showInputMessage="1" showErrorMessage="1" sqref="AX11:AX60" xr:uid="{A7EA9546-7EA1-44A7-9F3C-E4E7C9CE123F}">
      <formula1>"Yes - Complete Animal Materials tab, No"</formula1>
    </dataValidation>
    <dataValidation type="list" allowBlank="1" showInputMessage="1" showErrorMessage="1" sqref="AY11:AY60" xr:uid="{57004456-98F5-45AF-97C9-B85E40A24538}">
      <formula1>"Yes - Complete Wood/Plant Materials tab, No"</formula1>
    </dataValidation>
    <dataValidation type="list" allowBlank="1" showInputMessage="1" showErrorMessage="1" sqref="AD11:AD60 M11:M60" xr:uid="{58A80634-0E82-4E93-BDDF-22749FF9E2E9}">
      <formula1>"AUD, GBP, EUR, USD"</formula1>
    </dataValidation>
    <dataValidation type="list" operator="lessThanOrEqual" allowBlank="1" showInputMessage="1" showErrorMessage="1" sqref="AJ11:AJ60" xr:uid="{18125D3B-8331-4F9C-9F4F-DB71A234DC9A}">
      <formula1>"Adjustable length, Fixed length"</formula1>
    </dataValidation>
    <dataValidation type="list" operator="lessThanOrEqual" allowBlank="1" showInputMessage="1" showErrorMessage="1" sqref="AK11:AL60" xr:uid="{58E32CC9-59C8-4BA2-A436-400E414279BE}">
      <formula1>"Yes, No"</formula1>
    </dataValidation>
    <dataValidation type="list" allowBlank="1" showInputMessage="1" showErrorMessage="1" sqref="AU11:AU60" xr:uid="{63693BF3-5B73-476C-A055-F7FB814FD96E}">
      <formula1>"Pump, Squeeze, Other"</formula1>
    </dataValidation>
    <dataValidation type="list" allowBlank="1" showInputMessage="1" showErrorMessage="1" sqref="AW11:AW60" xr:uid="{13B6DC95-B33E-4D5B-B809-28619F2A6C56}">
      <formula1>"Empty, Filled - with lotion, Filled - with soap"</formula1>
    </dataValidation>
    <dataValidation type="list" allowBlank="1" showInputMessage="1" showErrorMessage="1" sqref="V11:V60" xr:uid="{1E244267-4DF9-4C9B-8DF4-56E5F18CB9C1}">
      <formula1>"Yes - designed to be used for a short time and then disposed, No - designed for long-term use"</formula1>
    </dataValidation>
    <dataValidation type="list" allowBlank="1" showInputMessage="1" showErrorMessage="1" sqref="W11:W60" xr:uid="{D721662A-DA69-4CCB-95A9-0B7AD0B304A9}">
      <formula1>"Yes, No"</formula1>
    </dataValidation>
    <dataValidation type="list" allowBlank="1" showInputMessage="1" showErrorMessage="1" sqref="X11:X60" xr:uid="{1D196254-04DC-4C9C-8CB9-637430CBFA8C}">
      <formula1>"Yes - paper/plastic/other lid, Yes - aluminum lid, No - no lid"</formula1>
    </dataValidation>
    <dataValidation type="list" allowBlank="1" showInputMessage="1" showErrorMessage="1" sqref="P11:P60" xr:uid="{0C2EEC02-7929-40F5-BE2A-00387AB1DD18}">
      <formula1>"Steel, Aluminum, Brass, Copper, Spring/Coil only in dispenser, More than one of the above, None of the above"</formula1>
    </dataValidation>
  </dataValidations>
  <pageMargins left="0.7" right="0.7" top="0.75" bottom="0.75" header="0.3" footer="0.3"/>
  <pageSetup paperSize="5" scale="10" fitToHeight="0" orientation="landscape" r:id="rId1"/>
  <colBreaks count="2" manualBreakCount="2">
    <brk id="32" max="113" man="1"/>
    <brk id="38" max="1048575" man="1"/>
  </colBreaks>
  <drawing r:id="rId2"/>
  <extLst>
    <ext xmlns:x14="http://schemas.microsoft.com/office/spreadsheetml/2009/9/main" uri="{CCE6A557-97BC-4b89-ADB6-D9C93CAAB3DF}">
      <x14:dataValidations xmlns:xm="http://schemas.microsoft.com/office/excel/2006/main" xWindow="549" yWindow="500" count="5">
        <x14:dataValidation type="list" allowBlank="1" showInputMessage="1" showErrorMessage="1" xr:uid="{00000000-0002-0000-0100-000009000000}">
          <x14:formula1>
            <xm:f>'Decor Dropdowns'!$M$1:$M$4</xm:f>
          </x14:formula1>
          <xm:sqref>T11:T60</xm:sqref>
        </x14:dataValidation>
        <x14:dataValidation type="list" allowBlank="1" showInputMessage="1" showErrorMessage="1" xr:uid="{00000000-0002-0000-0100-00000A000000}">
          <x14:formula1>
            <xm:f>'Decor Dropdowns'!$G$2:$G$4</xm:f>
          </x14:formula1>
          <xm:sqref>AB12:AB35 AA11:AA60 AB37:AB60</xm:sqref>
        </x14:dataValidation>
        <x14:dataValidation type="list" allowBlank="1" showInputMessage="1" showErrorMessage="1" xr:uid="{00000000-0002-0000-0100-00000B000000}">
          <x14:formula1>
            <xm:f>'Decor Dropdowns'!$G$9:$G$11</xm:f>
          </x14:formula1>
          <xm:sqref>AB11 AB36</xm:sqref>
        </x14:dataValidation>
        <x14:dataValidation type="list" allowBlank="1" showInputMessage="1" showErrorMessage="1" xr:uid="{2DFE284D-2ECA-478C-8722-6A148C14F4F9}">
          <x14:formula1>
            <xm:f>'Decor Dropdowns'!$A$10:$A$12</xm:f>
          </x14:formula1>
          <xm:sqref>AG11:AG60 R11:R60</xm:sqref>
        </x14:dataValidation>
        <x14:dataValidation type="list" allowBlank="1" showInputMessage="1" showErrorMessage="1" xr:uid="{70BA8B20-AE46-49A7-BC36-051173442A1F}">
          <x14:formula1>
            <xm:f>'Decor Dropdowns'!$E$18:$E$20</xm:f>
          </x14:formula1>
          <xm:sqref>AN11:AN60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8E498-13B1-4B55-A230-2145FC6838A5}">
  <sheetPr>
    <pageSetUpPr fitToPage="1"/>
  </sheetPr>
  <dimension ref="B1:G22"/>
  <sheetViews>
    <sheetView showGridLines="0" zoomScaleNormal="100" workbookViewId="0">
      <selection activeCell="G9" sqref="G9"/>
    </sheetView>
  </sheetViews>
  <sheetFormatPr defaultColWidth="9.109375" defaultRowHeight="14.4" x14ac:dyDescent="0.3"/>
  <cols>
    <col min="1" max="1" width="2" style="102" customWidth="1"/>
    <col min="2" max="2" width="43" style="102" customWidth="1"/>
    <col min="3" max="3" width="70.44140625" style="102" customWidth="1"/>
    <col min="4" max="6" width="9.109375" style="102"/>
    <col min="7" max="7" width="9.109375" style="102" customWidth="1"/>
    <col min="8" max="16384" width="9.109375" style="102"/>
  </cols>
  <sheetData>
    <row r="1" spans="2:7" ht="23.1" customHeight="1" x14ac:dyDescent="0.3"/>
    <row r="2" spans="2:7" ht="23.1" customHeight="1" x14ac:dyDescent="0.3">
      <c r="G2" s="103"/>
    </row>
    <row r="3" spans="2:7" ht="23.1" customHeight="1" thickBot="1" x14ac:dyDescent="0.35">
      <c r="G3" s="103"/>
    </row>
    <row r="4" spans="2:7" ht="23.1" customHeight="1" thickBot="1" x14ac:dyDescent="0.35">
      <c r="B4" s="517" t="s">
        <v>60</v>
      </c>
      <c r="C4" s="518"/>
      <c r="G4" s="103"/>
    </row>
    <row r="5" spans="2:7" ht="17.25" customHeight="1" x14ac:dyDescent="0.3">
      <c r="B5" s="104" t="s">
        <v>61</v>
      </c>
      <c r="C5" s="105" t="s">
        <v>399</v>
      </c>
    </row>
    <row r="6" spans="2:7" ht="17.25" customHeight="1" x14ac:dyDescent="0.3">
      <c r="B6" s="106" t="s">
        <v>62</v>
      </c>
      <c r="C6" s="107" t="s">
        <v>397</v>
      </c>
    </row>
    <row r="7" spans="2:7" ht="17.25" customHeight="1" x14ac:dyDescent="0.3">
      <c r="B7" s="106" t="s">
        <v>63</v>
      </c>
      <c r="C7" s="107" t="s">
        <v>400</v>
      </c>
    </row>
    <row r="8" spans="2:7" ht="17.25" customHeight="1" x14ac:dyDescent="0.3">
      <c r="B8" s="106" t="s">
        <v>64</v>
      </c>
      <c r="C8" s="107" t="s">
        <v>401</v>
      </c>
    </row>
    <row r="9" spans="2:7" ht="17.25" customHeight="1" x14ac:dyDescent="0.3">
      <c r="B9" s="106" t="s">
        <v>164</v>
      </c>
      <c r="C9" s="107" t="s">
        <v>402</v>
      </c>
    </row>
    <row r="10" spans="2:7" ht="17.25" customHeight="1" x14ac:dyDescent="0.3">
      <c r="B10" s="106" t="s">
        <v>65</v>
      </c>
      <c r="C10" s="107" t="s">
        <v>403</v>
      </c>
    </row>
    <row r="11" spans="2:7" ht="17.25" customHeight="1" x14ac:dyDescent="0.3">
      <c r="B11" s="106" t="s">
        <v>66</v>
      </c>
      <c r="C11" s="107">
        <v>244001</v>
      </c>
    </row>
    <row r="12" spans="2:7" ht="17.25" customHeight="1" x14ac:dyDescent="0.3">
      <c r="B12" s="106" t="s">
        <v>67</v>
      </c>
      <c r="C12" s="107" t="s">
        <v>404</v>
      </c>
    </row>
    <row r="13" spans="2:7" ht="17.25" customHeight="1" x14ac:dyDescent="0.3">
      <c r="B13" s="106" t="s">
        <v>68</v>
      </c>
      <c r="C13" s="107">
        <v>9897014276</v>
      </c>
    </row>
    <row r="14" spans="2:7" ht="17.25" customHeight="1" x14ac:dyDescent="0.3">
      <c r="B14" s="106" t="s">
        <v>69</v>
      </c>
      <c r="C14" s="107" t="s">
        <v>405</v>
      </c>
    </row>
    <row r="15" spans="2:7" ht="17.25" customHeight="1" x14ac:dyDescent="0.3">
      <c r="B15" s="106" t="s">
        <v>295</v>
      </c>
      <c r="C15" s="107" t="s">
        <v>406</v>
      </c>
    </row>
    <row r="16" spans="2:7" ht="17.25" customHeight="1" x14ac:dyDescent="0.3">
      <c r="B16" s="108" t="s">
        <v>296</v>
      </c>
      <c r="C16" s="107"/>
    </row>
    <row r="17" spans="2:3" ht="17.25" customHeight="1" thickBot="1" x14ac:dyDescent="0.35">
      <c r="B17" s="109" t="s">
        <v>297</v>
      </c>
      <c r="C17" s="110"/>
    </row>
    <row r="18" spans="2:3" x14ac:dyDescent="0.3">
      <c r="B18" s="111"/>
      <c r="C18" s="111"/>
    </row>
    <row r="19" spans="2:3" ht="12.9" customHeight="1" x14ac:dyDescent="0.3">
      <c r="B19" s="519" t="s">
        <v>298</v>
      </c>
      <c r="C19" s="519"/>
    </row>
    <row r="20" spans="2:3" ht="12.9" customHeight="1" x14ac:dyDescent="0.3">
      <c r="B20" s="519"/>
      <c r="C20" s="519"/>
    </row>
    <row r="21" spans="2:3" ht="12.9" customHeight="1" x14ac:dyDescent="0.3">
      <c r="B21" s="519"/>
      <c r="C21" s="519"/>
    </row>
    <row r="22" spans="2:3" x14ac:dyDescent="0.3">
      <c r="B22" s="111"/>
      <c r="C22" s="111"/>
    </row>
  </sheetData>
  <mergeCells count="2">
    <mergeCell ref="B4:C4"/>
    <mergeCell ref="B19:C21"/>
  </mergeCells>
  <dataValidations count="2">
    <dataValidation type="textLength" operator="lessThan" allowBlank="1" showInputMessage="1" showErrorMessage="1" sqref="B5:B17 B1:C4" xr:uid="{719B4ED5-EB26-405D-A801-86206CAD9FD9}">
      <formula1>0</formula1>
    </dataValidation>
    <dataValidation type="list" allowBlank="1" showInputMessage="1" showErrorMessage="1" sqref="C15" xr:uid="{1453B024-F393-4E23-806D-A27B91DF4099}">
      <formula1>"Origin Conferring, Packing, Both Origin Conferring and Packing"</formula1>
    </dataValidation>
  </dataValidations>
  <pageMargins left="0.7" right="0.7" top="0.75" bottom="0.75" header="0.3" footer="0.3"/>
  <pageSetup orientation="landscape" horizontalDpi="200" verticalDpi="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CF913-5AF5-414B-B5DF-060F7A4CD0FF}">
  <sheetPr>
    <pageSetUpPr fitToPage="1"/>
  </sheetPr>
  <dimension ref="B1:AB61"/>
  <sheetViews>
    <sheetView showGridLines="0" zoomScale="80" zoomScaleNormal="80" workbookViewId="0">
      <pane xSplit="5" ySplit="11" topLeftCell="P12" activePane="bottomRight" state="frozen"/>
      <selection activeCell="C15" sqref="C15"/>
      <selection pane="topRight" activeCell="C15" sqref="C15"/>
      <selection pane="bottomLeft" activeCell="C15" sqref="C15"/>
      <selection pane="bottomRight" activeCell="Q15" sqref="Q15"/>
    </sheetView>
  </sheetViews>
  <sheetFormatPr defaultColWidth="9.109375" defaultRowHeight="15" x14ac:dyDescent="0.35"/>
  <cols>
    <col min="1" max="1" width="5" style="112" customWidth="1"/>
    <col min="2" max="3" width="19.77734375" style="124" customWidth="1"/>
    <col min="4" max="4" width="32.33203125" style="124" customWidth="1"/>
    <col min="5" max="5" width="28.77734375" style="124" customWidth="1"/>
    <col min="6" max="6" width="36.88671875" style="124" customWidth="1"/>
    <col min="7" max="7" width="46.109375" style="125" customWidth="1"/>
    <col min="8" max="8" width="20.6640625" style="124" customWidth="1"/>
    <col min="9" max="9" width="19" style="124" customWidth="1"/>
    <col min="10" max="10" width="20" style="126" customWidth="1"/>
    <col min="11" max="12" width="46.109375" style="125" customWidth="1"/>
    <col min="13" max="13" width="20" style="126" customWidth="1"/>
    <col min="14" max="14" width="30.21875" style="126" customWidth="1"/>
    <col min="15" max="15" width="26.21875" style="126" customWidth="1"/>
    <col min="16" max="17" width="31.77734375" style="126" customWidth="1"/>
    <col min="18" max="18" width="35.33203125" style="112" customWidth="1"/>
    <col min="19" max="23" width="4.44140625" style="112" customWidth="1"/>
    <col min="24" max="24" width="52.109375" style="112" hidden="1" customWidth="1"/>
    <col min="25" max="25" width="2.109375" style="112" hidden="1" customWidth="1"/>
    <col min="26" max="26" width="63.33203125" style="112" hidden="1" customWidth="1"/>
    <col min="27" max="27" width="1.109375" style="112" hidden="1" customWidth="1"/>
    <col min="28" max="28" width="20.21875" style="112" hidden="1" customWidth="1"/>
    <col min="29" max="16384" width="9.109375" style="112"/>
  </cols>
  <sheetData>
    <row r="1" spans="2:28" x14ac:dyDescent="0.35">
      <c r="B1" s="112"/>
      <c r="C1" s="112"/>
      <c r="D1" s="113"/>
      <c r="E1" s="113"/>
      <c r="F1" s="113"/>
      <c r="G1" s="113"/>
      <c r="H1" s="113"/>
      <c r="I1" s="112"/>
      <c r="J1" s="113"/>
      <c r="K1" s="113"/>
      <c r="L1" s="113"/>
      <c r="M1" s="113"/>
      <c r="N1" s="113"/>
      <c r="O1" s="113"/>
      <c r="P1" s="113"/>
      <c r="Q1" s="113"/>
      <c r="R1" s="113"/>
      <c r="S1" s="113"/>
      <c r="X1" s="114" t="s">
        <v>96</v>
      </c>
      <c r="Y1" s="115"/>
      <c r="Z1" s="115" t="s">
        <v>97</v>
      </c>
      <c r="AA1" s="115"/>
      <c r="AB1" s="116" t="s">
        <v>98</v>
      </c>
    </row>
    <row r="2" spans="2:28" s="117" customFormat="1" ht="20.25" customHeight="1" x14ac:dyDescent="0.5">
      <c r="D2" s="118"/>
      <c r="E2" s="118"/>
      <c r="F2" s="119" t="s">
        <v>88</v>
      </c>
      <c r="H2" s="118"/>
      <c r="J2" s="118"/>
      <c r="K2" s="118"/>
      <c r="L2" s="118"/>
      <c r="M2" s="118"/>
      <c r="N2" s="118"/>
      <c r="O2" s="118"/>
      <c r="P2" s="118"/>
      <c r="Q2" s="118"/>
      <c r="R2" s="118"/>
      <c r="S2" s="118"/>
      <c r="X2" s="120"/>
      <c r="Y2" s="112"/>
      <c r="Z2" s="112"/>
      <c r="AA2" s="112"/>
      <c r="AB2" s="121"/>
    </row>
    <row r="3" spans="2:28" s="117" customFormat="1" ht="20.25" customHeight="1" x14ac:dyDescent="0.5">
      <c r="D3" s="122"/>
      <c r="E3" s="122"/>
      <c r="F3" s="123" t="s">
        <v>89</v>
      </c>
      <c r="H3" s="122"/>
      <c r="J3" s="122"/>
      <c r="K3" s="122"/>
      <c r="L3" s="122"/>
      <c r="M3" s="122"/>
      <c r="N3" s="122"/>
      <c r="O3" s="122"/>
      <c r="P3" s="122"/>
      <c r="Q3" s="122"/>
      <c r="R3" s="122"/>
      <c r="S3" s="122"/>
      <c r="X3" s="120" t="s">
        <v>99</v>
      </c>
      <c r="Y3" s="112"/>
      <c r="Z3" s="112" t="s">
        <v>100</v>
      </c>
      <c r="AA3" s="112"/>
      <c r="AB3" s="121" t="s">
        <v>101</v>
      </c>
    </row>
    <row r="4" spans="2:28" x14ac:dyDescent="0.35">
      <c r="F4" s="125"/>
      <c r="X4" s="120" t="s">
        <v>102</v>
      </c>
      <c r="Z4" s="112" t="s">
        <v>103</v>
      </c>
      <c r="AB4" s="121" t="s">
        <v>104</v>
      </c>
    </row>
    <row r="5" spans="2:28" ht="12.75" customHeight="1" x14ac:dyDescent="0.35">
      <c r="F5" s="127" t="s">
        <v>299</v>
      </c>
      <c r="X5" s="120" t="s">
        <v>105</v>
      </c>
      <c r="Z5" s="112" t="s">
        <v>106</v>
      </c>
      <c r="AB5" s="121" t="s">
        <v>107</v>
      </c>
    </row>
    <row r="6" spans="2:28" ht="12.75" customHeight="1" x14ac:dyDescent="0.35">
      <c r="X6" s="120" t="s">
        <v>108</v>
      </c>
      <c r="Z6" s="112" t="s">
        <v>109</v>
      </c>
      <c r="AB6" s="121" t="s">
        <v>110</v>
      </c>
    </row>
    <row r="7" spans="2:28" ht="12.75" customHeight="1" thickBot="1" x14ac:dyDescent="0.4">
      <c r="X7" s="120" t="s">
        <v>111</v>
      </c>
      <c r="AB7" s="121" t="s">
        <v>112</v>
      </c>
    </row>
    <row r="8" spans="2:28" ht="45" customHeight="1" thickBot="1" x14ac:dyDescent="0.4">
      <c r="B8" s="128" t="s">
        <v>259</v>
      </c>
      <c r="C8" s="129"/>
      <c r="D8" s="129"/>
      <c r="E8" s="129"/>
      <c r="F8" s="129"/>
      <c r="G8" s="129"/>
      <c r="H8" s="129"/>
      <c r="I8" s="129"/>
      <c r="J8" s="129"/>
      <c r="K8" s="129"/>
      <c r="L8" s="129"/>
      <c r="M8" s="129"/>
      <c r="N8" s="129"/>
      <c r="O8" s="129"/>
      <c r="P8" s="129"/>
      <c r="Q8" s="130"/>
      <c r="R8" s="520" t="s">
        <v>90</v>
      </c>
      <c r="X8" s="131" t="s">
        <v>113</v>
      </c>
      <c r="Y8" s="132"/>
      <c r="Z8" s="132"/>
      <c r="AA8" s="132"/>
      <c r="AB8" s="133"/>
    </row>
    <row r="9" spans="2:28" s="134" customFormat="1" ht="40.5" customHeight="1" thickBot="1" x14ac:dyDescent="0.45">
      <c r="B9" s="522" t="s">
        <v>300</v>
      </c>
      <c r="C9" s="523"/>
      <c r="D9" s="523"/>
      <c r="E9" s="524"/>
      <c r="F9" s="135" t="s">
        <v>91</v>
      </c>
      <c r="G9" s="135"/>
      <c r="H9" s="135"/>
      <c r="I9" s="135"/>
      <c r="J9" s="135"/>
      <c r="K9" s="135"/>
      <c r="L9" s="135"/>
      <c r="M9" s="135"/>
      <c r="N9" s="135"/>
      <c r="O9" s="135"/>
      <c r="P9" s="135"/>
      <c r="Q9" s="135"/>
      <c r="R9" s="521"/>
    </row>
    <row r="10" spans="2:28" s="136" customFormat="1" ht="95.25" customHeight="1" x14ac:dyDescent="0.3">
      <c r="B10" s="137" t="s">
        <v>20</v>
      </c>
      <c r="C10" s="138" t="s">
        <v>59</v>
      </c>
      <c r="D10" s="138" t="s">
        <v>144</v>
      </c>
      <c r="E10" s="139" t="s">
        <v>301</v>
      </c>
      <c r="F10" s="140" t="s">
        <v>260</v>
      </c>
      <c r="G10" s="141" t="s">
        <v>302</v>
      </c>
      <c r="H10" s="142" t="s">
        <v>92</v>
      </c>
      <c r="I10" s="143" t="s">
        <v>93</v>
      </c>
      <c r="J10" s="144" t="s">
        <v>94</v>
      </c>
      <c r="K10" s="143" t="s">
        <v>303</v>
      </c>
      <c r="L10" s="141" t="s">
        <v>304</v>
      </c>
      <c r="M10" s="141" t="s">
        <v>305</v>
      </c>
      <c r="N10" s="145" t="s">
        <v>306</v>
      </c>
      <c r="O10" s="141" t="s">
        <v>307</v>
      </c>
      <c r="P10" s="146" t="s">
        <v>308</v>
      </c>
      <c r="Q10" s="147" t="s">
        <v>357</v>
      </c>
      <c r="R10" s="148" t="s">
        <v>95</v>
      </c>
    </row>
    <row r="11" spans="2:28" s="136" customFormat="1" ht="27.75" customHeight="1" thickBot="1" x14ac:dyDescent="0.35">
      <c r="B11" s="149" t="s">
        <v>309</v>
      </c>
      <c r="C11" s="150" t="s">
        <v>309</v>
      </c>
      <c r="D11" s="150" t="s">
        <v>309</v>
      </c>
      <c r="E11" s="151" t="s">
        <v>309</v>
      </c>
      <c r="F11" s="152"/>
      <c r="G11" s="153" t="s">
        <v>310</v>
      </c>
      <c r="H11" s="154" t="s">
        <v>311</v>
      </c>
      <c r="I11" s="155" t="s">
        <v>312</v>
      </c>
      <c r="J11" s="156" t="s">
        <v>313</v>
      </c>
      <c r="K11" s="157" t="s">
        <v>272</v>
      </c>
      <c r="L11" s="153" t="s">
        <v>310</v>
      </c>
      <c r="M11" s="158"/>
      <c r="N11" s="155" t="s">
        <v>314</v>
      </c>
      <c r="O11" s="153" t="s">
        <v>188</v>
      </c>
      <c r="P11" s="159"/>
      <c r="Q11" s="160" t="s">
        <v>315</v>
      </c>
      <c r="R11" s="447" t="s">
        <v>394</v>
      </c>
    </row>
    <row r="12" spans="2:28" s="161" customFormat="1" ht="36.75" customHeight="1" x14ac:dyDescent="0.3">
      <c r="B12" s="304" t="e">
        <f>'Product Details'!#REF!</f>
        <v>#REF!</v>
      </c>
      <c r="C12" s="305" t="e">
        <f>'Product Details'!#REF!</f>
        <v>#REF!</v>
      </c>
      <c r="D12" s="305" t="e">
        <f>'Product Details'!#REF!</f>
        <v>#REF!</v>
      </c>
      <c r="E12" s="306" t="e">
        <f>'Product Details'!#REF!</f>
        <v>#REF!</v>
      </c>
      <c r="F12" s="307"/>
      <c r="G12" s="308"/>
      <c r="H12" s="309"/>
      <c r="I12" s="310"/>
      <c r="J12" s="311"/>
      <c r="K12" s="312"/>
      <c r="L12" s="308"/>
      <c r="M12" s="308"/>
      <c r="N12" s="313"/>
      <c r="O12" s="308"/>
      <c r="P12" s="314"/>
      <c r="Q12" s="315"/>
      <c r="R12" s="316"/>
    </row>
    <row r="13" spans="2:28" s="161" customFormat="1" ht="36.75" customHeight="1" x14ac:dyDescent="0.3">
      <c r="B13" s="317">
        <f>'Product Details'!B12</f>
        <v>0</v>
      </c>
      <c r="C13" s="318">
        <f>'Product Details'!C12</f>
        <v>0</v>
      </c>
      <c r="D13" s="318">
        <f>'Product Details'!E12</f>
        <v>0</v>
      </c>
      <c r="E13" s="319">
        <f>'Product Details'!K12</f>
        <v>0</v>
      </c>
      <c r="F13" s="320"/>
      <c r="G13" s="321"/>
      <c r="H13" s="322"/>
      <c r="I13" s="323"/>
      <c r="J13" s="324"/>
      <c r="K13" s="320"/>
      <c r="L13" s="321"/>
      <c r="M13" s="321"/>
      <c r="N13" s="325"/>
      <c r="O13" s="321"/>
      <c r="P13" s="326"/>
      <c r="Q13" s="327"/>
      <c r="R13" s="328"/>
    </row>
    <row r="14" spans="2:28" s="161" customFormat="1" ht="36.75" customHeight="1" x14ac:dyDescent="0.3">
      <c r="B14" s="317">
        <f>'Product Details'!B13</f>
        <v>0</v>
      </c>
      <c r="C14" s="318">
        <f>'Product Details'!C13</f>
        <v>0</v>
      </c>
      <c r="D14" s="318">
        <f>'Product Details'!E13</f>
        <v>0</v>
      </c>
      <c r="E14" s="319">
        <f>'Product Details'!K13</f>
        <v>0</v>
      </c>
      <c r="F14" s="320"/>
      <c r="G14" s="321"/>
      <c r="H14" s="322"/>
      <c r="I14" s="323"/>
      <c r="J14" s="324"/>
      <c r="K14" s="329"/>
      <c r="L14" s="321"/>
      <c r="M14" s="321"/>
      <c r="N14" s="325"/>
      <c r="O14" s="321"/>
      <c r="P14" s="326"/>
      <c r="Q14" s="327"/>
      <c r="R14" s="328"/>
    </row>
    <row r="15" spans="2:28" s="161" customFormat="1" ht="36.75" customHeight="1" x14ac:dyDescent="0.3">
      <c r="B15" s="317">
        <f>'Product Details'!B14</f>
        <v>0</v>
      </c>
      <c r="C15" s="318">
        <f>'Product Details'!C14</f>
        <v>0</v>
      </c>
      <c r="D15" s="318">
        <f>'Product Details'!E14</f>
        <v>0</v>
      </c>
      <c r="E15" s="319">
        <f>'Product Details'!K14</f>
        <v>0</v>
      </c>
      <c r="F15" s="320"/>
      <c r="G15" s="321"/>
      <c r="H15" s="322"/>
      <c r="I15" s="323"/>
      <c r="J15" s="324"/>
      <c r="K15" s="329"/>
      <c r="L15" s="321"/>
      <c r="M15" s="321"/>
      <c r="N15" s="325"/>
      <c r="O15" s="321"/>
      <c r="P15" s="326"/>
      <c r="Q15" s="327"/>
      <c r="R15" s="328"/>
    </row>
    <row r="16" spans="2:28" s="161" customFormat="1" ht="36.75" customHeight="1" x14ac:dyDescent="0.3">
      <c r="B16" s="317">
        <f>'Product Details'!B11</f>
        <v>591727</v>
      </c>
      <c r="C16" s="318">
        <f>'Product Details'!C11</f>
        <v>6261</v>
      </c>
      <c r="D16" s="318" t="str">
        <f>'Product Details'!E11</f>
        <v>14 25X4X10 75 GLD BIRDS ON A TWIG</v>
      </c>
      <c r="E16" s="319">
        <f>'Product Details'!K11</f>
        <v>0</v>
      </c>
      <c r="F16" s="320"/>
      <c r="G16" s="321"/>
      <c r="H16" s="322"/>
      <c r="I16" s="330"/>
      <c r="J16" s="331"/>
      <c r="K16" s="329"/>
      <c r="L16" s="321"/>
      <c r="M16" s="332"/>
      <c r="N16" s="333"/>
      <c r="O16" s="321"/>
      <c r="P16" s="334"/>
      <c r="Q16" s="327"/>
      <c r="R16" s="328"/>
    </row>
    <row r="17" spans="2:18" s="161" customFormat="1" ht="36.75" customHeight="1" x14ac:dyDescent="0.3">
      <c r="B17" s="317">
        <f>'Product Details'!B16</f>
        <v>0</v>
      </c>
      <c r="C17" s="318">
        <f>'Product Details'!C16</f>
        <v>0</v>
      </c>
      <c r="D17" s="318">
        <f>'Product Details'!E16</f>
        <v>0</v>
      </c>
      <c r="E17" s="319">
        <f>'Product Details'!K16</f>
        <v>0</v>
      </c>
      <c r="F17" s="320"/>
      <c r="G17" s="321"/>
      <c r="H17" s="322"/>
      <c r="I17" s="330"/>
      <c r="J17" s="331"/>
      <c r="K17" s="329"/>
      <c r="L17" s="321"/>
      <c r="M17" s="332"/>
      <c r="N17" s="333"/>
      <c r="O17" s="321"/>
      <c r="P17" s="334"/>
      <c r="Q17" s="327"/>
      <c r="R17" s="328"/>
    </row>
    <row r="18" spans="2:18" s="161" customFormat="1" ht="36.75" customHeight="1" x14ac:dyDescent="0.3">
      <c r="B18" s="317">
        <f>'Product Details'!B17</f>
        <v>0</v>
      </c>
      <c r="C18" s="318">
        <f>'Product Details'!C17</f>
        <v>0</v>
      </c>
      <c r="D18" s="318">
        <f>'Product Details'!E17</f>
        <v>0</v>
      </c>
      <c r="E18" s="319">
        <f>'Product Details'!K17</f>
        <v>0</v>
      </c>
      <c r="F18" s="320"/>
      <c r="G18" s="321"/>
      <c r="H18" s="322"/>
      <c r="I18" s="330"/>
      <c r="J18" s="331"/>
      <c r="K18" s="329"/>
      <c r="L18" s="321"/>
      <c r="M18" s="332"/>
      <c r="N18" s="333"/>
      <c r="O18" s="321"/>
      <c r="P18" s="334"/>
      <c r="Q18" s="327"/>
      <c r="R18" s="328"/>
    </row>
    <row r="19" spans="2:18" s="161" customFormat="1" ht="36.75" customHeight="1" x14ac:dyDescent="0.3">
      <c r="B19" s="317">
        <f>'Product Details'!B18</f>
        <v>0</v>
      </c>
      <c r="C19" s="318">
        <f>'Product Details'!C18</f>
        <v>0</v>
      </c>
      <c r="D19" s="318">
        <f>'Product Details'!E18</f>
        <v>0</v>
      </c>
      <c r="E19" s="319">
        <f>'Product Details'!K18</f>
        <v>0</v>
      </c>
      <c r="F19" s="320"/>
      <c r="G19" s="321"/>
      <c r="H19" s="322"/>
      <c r="I19" s="330"/>
      <c r="J19" s="331"/>
      <c r="K19" s="329"/>
      <c r="L19" s="321"/>
      <c r="M19" s="332"/>
      <c r="N19" s="333"/>
      <c r="O19" s="321"/>
      <c r="P19" s="334"/>
      <c r="Q19" s="327"/>
      <c r="R19" s="328"/>
    </row>
    <row r="20" spans="2:18" s="161" customFormat="1" ht="36.75" customHeight="1" x14ac:dyDescent="0.3">
      <c r="B20" s="317">
        <f>'Product Details'!B19</f>
        <v>0</v>
      </c>
      <c r="C20" s="318">
        <f>'Product Details'!C19</f>
        <v>0</v>
      </c>
      <c r="D20" s="318">
        <f>'Product Details'!E19</f>
        <v>0</v>
      </c>
      <c r="E20" s="319">
        <f>'Product Details'!K19</f>
        <v>0</v>
      </c>
      <c r="F20" s="320"/>
      <c r="G20" s="321"/>
      <c r="H20" s="322"/>
      <c r="I20" s="330"/>
      <c r="J20" s="331"/>
      <c r="K20" s="329"/>
      <c r="L20" s="321"/>
      <c r="M20" s="332"/>
      <c r="N20" s="333"/>
      <c r="O20" s="321"/>
      <c r="P20" s="334"/>
      <c r="Q20" s="327"/>
      <c r="R20" s="328"/>
    </row>
    <row r="21" spans="2:18" s="161" customFormat="1" ht="36.75" customHeight="1" x14ac:dyDescent="0.3">
      <c r="B21" s="317">
        <f>'Product Details'!B20</f>
        <v>0</v>
      </c>
      <c r="C21" s="318">
        <f>'Product Details'!C20</f>
        <v>0</v>
      </c>
      <c r="D21" s="318">
        <f>'Product Details'!E20</f>
        <v>0</v>
      </c>
      <c r="E21" s="319">
        <f>'Product Details'!K20</f>
        <v>0</v>
      </c>
      <c r="F21" s="320"/>
      <c r="G21" s="321"/>
      <c r="H21" s="322"/>
      <c r="I21" s="330"/>
      <c r="J21" s="331"/>
      <c r="K21" s="329"/>
      <c r="L21" s="321"/>
      <c r="M21" s="332"/>
      <c r="N21" s="333"/>
      <c r="O21" s="321"/>
      <c r="P21" s="334"/>
      <c r="Q21" s="335"/>
      <c r="R21" s="328"/>
    </row>
    <row r="22" spans="2:18" s="161" customFormat="1" ht="36.75" customHeight="1" x14ac:dyDescent="0.3">
      <c r="B22" s="317">
        <f>'Product Details'!B21</f>
        <v>0</v>
      </c>
      <c r="C22" s="318">
        <f>'Product Details'!C21</f>
        <v>0</v>
      </c>
      <c r="D22" s="318">
        <f>'Product Details'!E21</f>
        <v>0</v>
      </c>
      <c r="E22" s="319">
        <f>'Product Details'!K21</f>
        <v>0</v>
      </c>
      <c r="F22" s="320"/>
      <c r="G22" s="321"/>
      <c r="H22" s="322"/>
      <c r="I22" s="330"/>
      <c r="J22" s="331"/>
      <c r="K22" s="329"/>
      <c r="L22" s="321"/>
      <c r="M22" s="332"/>
      <c r="N22" s="333"/>
      <c r="O22" s="321"/>
      <c r="P22" s="334"/>
      <c r="Q22" s="336"/>
      <c r="R22" s="328"/>
    </row>
    <row r="23" spans="2:18" s="161" customFormat="1" ht="36.75" customHeight="1" x14ac:dyDescent="0.3">
      <c r="B23" s="317">
        <f>'Product Details'!B22</f>
        <v>0</v>
      </c>
      <c r="C23" s="318">
        <f>'Product Details'!C22</f>
        <v>0</v>
      </c>
      <c r="D23" s="318">
        <f>'Product Details'!E22</f>
        <v>0</v>
      </c>
      <c r="E23" s="319">
        <f>'Product Details'!K22</f>
        <v>0</v>
      </c>
      <c r="F23" s="320"/>
      <c r="G23" s="321"/>
      <c r="H23" s="322"/>
      <c r="I23" s="330"/>
      <c r="J23" s="331"/>
      <c r="K23" s="329"/>
      <c r="L23" s="321"/>
      <c r="M23" s="332"/>
      <c r="N23" s="333"/>
      <c r="O23" s="321"/>
      <c r="P23" s="334"/>
      <c r="Q23" s="337"/>
      <c r="R23" s="328"/>
    </row>
    <row r="24" spans="2:18" s="161" customFormat="1" ht="36.75" customHeight="1" x14ac:dyDescent="0.3">
      <c r="B24" s="317">
        <f>'Product Details'!B23</f>
        <v>0</v>
      </c>
      <c r="C24" s="318">
        <f>'Product Details'!C23</f>
        <v>0</v>
      </c>
      <c r="D24" s="318">
        <f>'Product Details'!E23</f>
        <v>0</v>
      </c>
      <c r="E24" s="319">
        <f>'Product Details'!K23</f>
        <v>0</v>
      </c>
      <c r="F24" s="320"/>
      <c r="G24" s="321"/>
      <c r="H24" s="322"/>
      <c r="I24" s="330"/>
      <c r="J24" s="331"/>
      <c r="K24" s="329"/>
      <c r="L24" s="321"/>
      <c r="M24" s="332"/>
      <c r="N24" s="333"/>
      <c r="O24" s="321"/>
      <c r="P24" s="334"/>
      <c r="Q24" s="336"/>
      <c r="R24" s="328"/>
    </row>
    <row r="25" spans="2:18" s="161" customFormat="1" ht="36.75" customHeight="1" x14ac:dyDescent="0.3">
      <c r="B25" s="317">
        <f>'Product Details'!B24</f>
        <v>0</v>
      </c>
      <c r="C25" s="318">
        <f>'Product Details'!C24</f>
        <v>0</v>
      </c>
      <c r="D25" s="318">
        <f>'Product Details'!E24</f>
        <v>0</v>
      </c>
      <c r="E25" s="319">
        <f>'Product Details'!K24</f>
        <v>0</v>
      </c>
      <c r="F25" s="320"/>
      <c r="G25" s="321"/>
      <c r="H25" s="322"/>
      <c r="I25" s="330"/>
      <c r="J25" s="331"/>
      <c r="K25" s="329"/>
      <c r="L25" s="321"/>
      <c r="M25" s="332"/>
      <c r="N25" s="333"/>
      <c r="O25" s="321"/>
      <c r="P25" s="334"/>
      <c r="Q25" s="337"/>
      <c r="R25" s="328"/>
    </row>
    <row r="26" spans="2:18" s="161" customFormat="1" ht="36.75" customHeight="1" x14ac:dyDescent="0.3">
      <c r="B26" s="317">
        <f>'Product Details'!B25</f>
        <v>0</v>
      </c>
      <c r="C26" s="318">
        <f>'Product Details'!C25</f>
        <v>0</v>
      </c>
      <c r="D26" s="318">
        <f>'Product Details'!E25</f>
        <v>0</v>
      </c>
      <c r="E26" s="319">
        <f>'Product Details'!K25</f>
        <v>0</v>
      </c>
      <c r="F26" s="320"/>
      <c r="G26" s="321"/>
      <c r="H26" s="322"/>
      <c r="I26" s="330"/>
      <c r="J26" s="331"/>
      <c r="K26" s="329"/>
      <c r="L26" s="321"/>
      <c r="M26" s="332"/>
      <c r="N26" s="333"/>
      <c r="O26" s="321"/>
      <c r="P26" s="334"/>
      <c r="Q26" s="336"/>
      <c r="R26" s="328"/>
    </row>
    <row r="27" spans="2:18" s="161" customFormat="1" ht="36.75" customHeight="1" x14ac:dyDescent="0.3">
      <c r="B27" s="317">
        <f>'Product Details'!B26</f>
        <v>0</v>
      </c>
      <c r="C27" s="318">
        <f>'Product Details'!C26</f>
        <v>0</v>
      </c>
      <c r="D27" s="318">
        <f>'Product Details'!E26</f>
        <v>0</v>
      </c>
      <c r="E27" s="319">
        <f>'Product Details'!K26</f>
        <v>0</v>
      </c>
      <c r="F27" s="320"/>
      <c r="G27" s="321"/>
      <c r="H27" s="322"/>
      <c r="I27" s="330"/>
      <c r="J27" s="331"/>
      <c r="K27" s="329"/>
      <c r="L27" s="321"/>
      <c r="M27" s="332"/>
      <c r="N27" s="333"/>
      <c r="O27" s="321"/>
      <c r="P27" s="334"/>
      <c r="Q27" s="337"/>
      <c r="R27" s="328"/>
    </row>
    <row r="28" spans="2:18" s="161" customFormat="1" ht="36.75" customHeight="1" x14ac:dyDescent="0.3">
      <c r="B28" s="317">
        <f>'Product Details'!B27</f>
        <v>0</v>
      </c>
      <c r="C28" s="318">
        <f>'Product Details'!C27</f>
        <v>0</v>
      </c>
      <c r="D28" s="318">
        <f>'Product Details'!E27</f>
        <v>0</v>
      </c>
      <c r="E28" s="319">
        <f>'Product Details'!K27</f>
        <v>0</v>
      </c>
      <c r="F28" s="320"/>
      <c r="G28" s="321"/>
      <c r="H28" s="322"/>
      <c r="I28" s="330"/>
      <c r="J28" s="331"/>
      <c r="K28" s="329"/>
      <c r="L28" s="321"/>
      <c r="M28" s="332"/>
      <c r="N28" s="333"/>
      <c r="O28" s="321"/>
      <c r="P28" s="334"/>
      <c r="Q28" s="336"/>
      <c r="R28" s="328"/>
    </row>
    <row r="29" spans="2:18" s="161" customFormat="1" ht="36.75" customHeight="1" x14ac:dyDescent="0.3">
      <c r="B29" s="317">
        <f>'Product Details'!B28</f>
        <v>0</v>
      </c>
      <c r="C29" s="318">
        <f>'Product Details'!C28</f>
        <v>0</v>
      </c>
      <c r="D29" s="318">
        <f>'Product Details'!E28</f>
        <v>0</v>
      </c>
      <c r="E29" s="319">
        <f>'Product Details'!K28</f>
        <v>0</v>
      </c>
      <c r="F29" s="320"/>
      <c r="G29" s="321"/>
      <c r="H29" s="322"/>
      <c r="I29" s="330"/>
      <c r="J29" s="331"/>
      <c r="K29" s="329"/>
      <c r="L29" s="321"/>
      <c r="M29" s="332"/>
      <c r="N29" s="333"/>
      <c r="O29" s="321"/>
      <c r="P29" s="334"/>
      <c r="Q29" s="337"/>
      <c r="R29" s="328"/>
    </row>
    <row r="30" spans="2:18" s="161" customFormat="1" ht="36.75" customHeight="1" x14ac:dyDescent="0.3">
      <c r="B30" s="317">
        <f>'Product Details'!B29</f>
        <v>0</v>
      </c>
      <c r="C30" s="318">
        <f>'Product Details'!C29</f>
        <v>0</v>
      </c>
      <c r="D30" s="318">
        <f>'Product Details'!E29</f>
        <v>0</v>
      </c>
      <c r="E30" s="319">
        <f>'Product Details'!K29</f>
        <v>0</v>
      </c>
      <c r="F30" s="320"/>
      <c r="G30" s="321"/>
      <c r="H30" s="322"/>
      <c r="I30" s="330"/>
      <c r="J30" s="331"/>
      <c r="K30" s="329"/>
      <c r="L30" s="321"/>
      <c r="M30" s="332"/>
      <c r="N30" s="333"/>
      <c r="O30" s="321"/>
      <c r="P30" s="334"/>
      <c r="Q30" s="336"/>
      <c r="R30" s="328"/>
    </row>
    <row r="31" spans="2:18" s="161" customFormat="1" ht="36.75" customHeight="1" x14ac:dyDescent="0.3">
      <c r="B31" s="317">
        <f>'Product Details'!B30</f>
        <v>0</v>
      </c>
      <c r="C31" s="318">
        <f>'Product Details'!C30</f>
        <v>0</v>
      </c>
      <c r="D31" s="318">
        <f>'Product Details'!E30</f>
        <v>0</v>
      </c>
      <c r="E31" s="319">
        <f>'Product Details'!K30</f>
        <v>0</v>
      </c>
      <c r="F31" s="320"/>
      <c r="G31" s="321"/>
      <c r="H31" s="322"/>
      <c r="I31" s="330"/>
      <c r="J31" s="331"/>
      <c r="K31" s="329"/>
      <c r="L31" s="321"/>
      <c r="M31" s="332"/>
      <c r="N31" s="333"/>
      <c r="O31" s="321"/>
      <c r="P31" s="334"/>
      <c r="Q31" s="337"/>
      <c r="R31" s="328"/>
    </row>
    <row r="32" spans="2:18" s="161" customFormat="1" ht="36.75" customHeight="1" x14ac:dyDescent="0.3">
      <c r="B32" s="317">
        <f>'Product Details'!B31</f>
        <v>0</v>
      </c>
      <c r="C32" s="318">
        <f>'Product Details'!C31</f>
        <v>0</v>
      </c>
      <c r="D32" s="318">
        <f>'Product Details'!E31</f>
        <v>0</v>
      </c>
      <c r="E32" s="319">
        <f>'Product Details'!K31</f>
        <v>0</v>
      </c>
      <c r="F32" s="320"/>
      <c r="G32" s="321"/>
      <c r="H32" s="322"/>
      <c r="I32" s="330"/>
      <c r="J32" s="331"/>
      <c r="K32" s="329"/>
      <c r="L32" s="321"/>
      <c r="M32" s="332"/>
      <c r="N32" s="333"/>
      <c r="O32" s="321"/>
      <c r="P32" s="334"/>
      <c r="Q32" s="336"/>
      <c r="R32" s="328"/>
    </row>
    <row r="33" spans="2:18" s="161" customFormat="1" ht="36.75" customHeight="1" x14ac:dyDescent="0.3">
      <c r="B33" s="317">
        <f>'Product Details'!B32</f>
        <v>0</v>
      </c>
      <c r="C33" s="318">
        <f>'Product Details'!C32</f>
        <v>0</v>
      </c>
      <c r="D33" s="318">
        <f>'Product Details'!E32</f>
        <v>0</v>
      </c>
      <c r="E33" s="319">
        <f>'Product Details'!K32</f>
        <v>0</v>
      </c>
      <c r="F33" s="320"/>
      <c r="G33" s="321"/>
      <c r="H33" s="322"/>
      <c r="I33" s="330"/>
      <c r="J33" s="331"/>
      <c r="K33" s="329"/>
      <c r="L33" s="321"/>
      <c r="M33" s="332"/>
      <c r="N33" s="333"/>
      <c r="O33" s="321"/>
      <c r="P33" s="334"/>
      <c r="Q33" s="337"/>
      <c r="R33" s="328"/>
    </row>
    <row r="34" spans="2:18" s="161" customFormat="1" ht="36.75" customHeight="1" x14ac:dyDescent="0.3">
      <c r="B34" s="317">
        <f>'Product Details'!B33</f>
        <v>0</v>
      </c>
      <c r="C34" s="318">
        <f>'Product Details'!C33</f>
        <v>0</v>
      </c>
      <c r="D34" s="318">
        <f>'Product Details'!E33</f>
        <v>0</v>
      </c>
      <c r="E34" s="319">
        <f>'Product Details'!K33</f>
        <v>0</v>
      </c>
      <c r="F34" s="320"/>
      <c r="G34" s="321"/>
      <c r="H34" s="322"/>
      <c r="I34" s="330"/>
      <c r="J34" s="331"/>
      <c r="K34" s="329"/>
      <c r="L34" s="321"/>
      <c r="M34" s="332"/>
      <c r="N34" s="333"/>
      <c r="O34" s="321"/>
      <c r="P34" s="334"/>
      <c r="Q34" s="336"/>
      <c r="R34" s="328"/>
    </row>
    <row r="35" spans="2:18" s="161" customFormat="1" ht="36.75" customHeight="1" x14ac:dyDescent="0.3">
      <c r="B35" s="317">
        <f>'Product Details'!B34</f>
        <v>0</v>
      </c>
      <c r="C35" s="318">
        <f>'Product Details'!C34</f>
        <v>0</v>
      </c>
      <c r="D35" s="318">
        <f>'Product Details'!E34</f>
        <v>0</v>
      </c>
      <c r="E35" s="319">
        <f>'Product Details'!K34</f>
        <v>0</v>
      </c>
      <c r="F35" s="320"/>
      <c r="G35" s="321"/>
      <c r="H35" s="322"/>
      <c r="I35" s="330"/>
      <c r="J35" s="331"/>
      <c r="K35" s="329"/>
      <c r="L35" s="321"/>
      <c r="M35" s="332"/>
      <c r="N35" s="333"/>
      <c r="O35" s="321"/>
      <c r="P35" s="334"/>
      <c r="Q35" s="337"/>
      <c r="R35" s="328"/>
    </row>
    <row r="36" spans="2:18" s="161" customFormat="1" ht="36.75" customHeight="1" x14ac:dyDescent="0.3">
      <c r="B36" s="317">
        <f>'Product Details'!B35</f>
        <v>0</v>
      </c>
      <c r="C36" s="318">
        <f>'Product Details'!C35</f>
        <v>0</v>
      </c>
      <c r="D36" s="318">
        <f>'Product Details'!E35</f>
        <v>0</v>
      </c>
      <c r="E36" s="319">
        <f>'Product Details'!K35</f>
        <v>0</v>
      </c>
      <c r="F36" s="320"/>
      <c r="G36" s="321"/>
      <c r="H36" s="322"/>
      <c r="I36" s="330"/>
      <c r="J36" s="331"/>
      <c r="K36" s="329"/>
      <c r="L36" s="321"/>
      <c r="M36" s="332"/>
      <c r="N36" s="333"/>
      <c r="O36" s="321"/>
      <c r="P36" s="334"/>
      <c r="Q36" s="336"/>
      <c r="R36" s="328"/>
    </row>
    <row r="37" spans="2:18" s="161" customFormat="1" ht="36.75" customHeight="1" x14ac:dyDescent="0.3">
      <c r="B37" s="383">
        <f>'Product Details'!B36</f>
        <v>0</v>
      </c>
      <c r="C37" s="384">
        <f>'Product Details'!C36</f>
        <v>0</v>
      </c>
      <c r="D37" s="384">
        <f>'Product Details'!E36</f>
        <v>0</v>
      </c>
      <c r="E37" s="407">
        <f>'Product Details'!K36</f>
        <v>0</v>
      </c>
      <c r="F37" s="307"/>
      <c r="G37" s="308"/>
      <c r="H37" s="309"/>
      <c r="I37" s="310"/>
      <c r="J37" s="311"/>
      <c r="K37" s="312"/>
      <c r="L37" s="308"/>
      <c r="M37" s="308"/>
      <c r="N37" s="313"/>
      <c r="O37" s="308"/>
      <c r="P37" s="408"/>
      <c r="Q37" s="409"/>
      <c r="R37" s="357"/>
    </row>
    <row r="38" spans="2:18" s="161" customFormat="1" ht="36.75" customHeight="1" x14ac:dyDescent="0.3">
      <c r="B38" s="317">
        <f>'Product Details'!B37</f>
        <v>0</v>
      </c>
      <c r="C38" s="318">
        <f>'Product Details'!C37</f>
        <v>0</v>
      </c>
      <c r="D38" s="318">
        <f>'Product Details'!E37</f>
        <v>0</v>
      </c>
      <c r="E38" s="319">
        <f>'Product Details'!K37</f>
        <v>0</v>
      </c>
      <c r="F38" s="320"/>
      <c r="G38" s="321"/>
      <c r="H38" s="322"/>
      <c r="I38" s="323"/>
      <c r="J38" s="324"/>
      <c r="K38" s="320"/>
      <c r="L38" s="321"/>
      <c r="M38" s="321"/>
      <c r="N38" s="325"/>
      <c r="O38" s="321"/>
      <c r="P38" s="326"/>
      <c r="Q38" s="327"/>
      <c r="R38" s="328"/>
    </row>
    <row r="39" spans="2:18" s="161" customFormat="1" ht="36.75" customHeight="1" x14ac:dyDescent="0.3">
      <c r="B39" s="317">
        <f>'Product Details'!B38</f>
        <v>0</v>
      </c>
      <c r="C39" s="318">
        <f>'Product Details'!C38</f>
        <v>0</v>
      </c>
      <c r="D39" s="318">
        <f>'Product Details'!E38</f>
        <v>0</v>
      </c>
      <c r="E39" s="319">
        <f>'Product Details'!K38</f>
        <v>0</v>
      </c>
      <c r="F39" s="320"/>
      <c r="G39" s="321"/>
      <c r="H39" s="322"/>
      <c r="I39" s="323"/>
      <c r="J39" s="324"/>
      <c r="K39" s="329"/>
      <c r="L39" s="321"/>
      <c r="M39" s="321"/>
      <c r="N39" s="325"/>
      <c r="O39" s="321"/>
      <c r="P39" s="326"/>
      <c r="Q39" s="327"/>
      <c r="R39" s="328"/>
    </row>
    <row r="40" spans="2:18" s="161" customFormat="1" ht="36.75" customHeight="1" x14ac:dyDescent="0.3">
      <c r="B40" s="317">
        <f>'Product Details'!B39</f>
        <v>0</v>
      </c>
      <c r="C40" s="318">
        <f>'Product Details'!C39</f>
        <v>0</v>
      </c>
      <c r="D40" s="318">
        <f>'Product Details'!E39</f>
        <v>0</v>
      </c>
      <c r="E40" s="319">
        <f>'Product Details'!K39</f>
        <v>0</v>
      </c>
      <c r="F40" s="320"/>
      <c r="G40" s="321"/>
      <c r="H40" s="322"/>
      <c r="I40" s="323"/>
      <c r="J40" s="324"/>
      <c r="K40" s="329"/>
      <c r="L40" s="321"/>
      <c r="M40" s="321"/>
      <c r="N40" s="325"/>
      <c r="O40" s="321"/>
      <c r="P40" s="326"/>
      <c r="Q40" s="327"/>
      <c r="R40" s="328"/>
    </row>
    <row r="41" spans="2:18" s="161" customFormat="1" ht="36.75" customHeight="1" x14ac:dyDescent="0.3">
      <c r="B41" s="317">
        <f>'Product Details'!B40</f>
        <v>0</v>
      </c>
      <c r="C41" s="318">
        <f>'Product Details'!C40</f>
        <v>0</v>
      </c>
      <c r="D41" s="318">
        <f>'Product Details'!E40</f>
        <v>0</v>
      </c>
      <c r="E41" s="319">
        <f>'Product Details'!K40</f>
        <v>0</v>
      </c>
      <c r="F41" s="320"/>
      <c r="G41" s="321"/>
      <c r="H41" s="322"/>
      <c r="I41" s="330"/>
      <c r="J41" s="331"/>
      <c r="K41" s="329"/>
      <c r="L41" s="321"/>
      <c r="M41" s="332"/>
      <c r="N41" s="333"/>
      <c r="O41" s="321"/>
      <c r="P41" s="334"/>
      <c r="Q41" s="327"/>
      <c r="R41" s="328"/>
    </row>
    <row r="42" spans="2:18" s="161" customFormat="1" ht="36.75" customHeight="1" x14ac:dyDescent="0.3">
      <c r="B42" s="317">
        <f>'Product Details'!B41</f>
        <v>0</v>
      </c>
      <c r="C42" s="318">
        <f>'Product Details'!C41</f>
        <v>0</v>
      </c>
      <c r="D42" s="318">
        <f>'Product Details'!E41</f>
        <v>0</v>
      </c>
      <c r="E42" s="319">
        <f>'Product Details'!K41</f>
        <v>0</v>
      </c>
      <c r="F42" s="320"/>
      <c r="G42" s="321"/>
      <c r="H42" s="322"/>
      <c r="I42" s="330"/>
      <c r="J42" s="331"/>
      <c r="K42" s="329"/>
      <c r="L42" s="321"/>
      <c r="M42" s="332"/>
      <c r="N42" s="333"/>
      <c r="O42" s="321"/>
      <c r="P42" s="334"/>
      <c r="Q42" s="327"/>
      <c r="R42" s="328"/>
    </row>
    <row r="43" spans="2:18" s="161" customFormat="1" ht="36.75" customHeight="1" x14ac:dyDescent="0.3">
      <c r="B43" s="317">
        <f>'Product Details'!B42</f>
        <v>0</v>
      </c>
      <c r="C43" s="318">
        <f>'Product Details'!C42</f>
        <v>0</v>
      </c>
      <c r="D43" s="318">
        <f>'Product Details'!E42</f>
        <v>0</v>
      </c>
      <c r="E43" s="319">
        <f>'Product Details'!K42</f>
        <v>0</v>
      </c>
      <c r="F43" s="320"/>
      <c r="G43" s="321"/>
      <c r="H43" s="322"/>
      <c r="I43" s="330"/>
      <c r="J43" s="331"/>
      <c r="K43" s="329"/>
      <c r="L43" s="321"/>
      <c r="M43" s="332"/>
      <c r="N43" s="333"/>
      <c r="O43" s="321"/>
      <c r="P43" s="334"/>
      <c r="Q43" s="327"/>
      <c r="R43" s="328"/>
    </row>
    <row r="44" spans="2:18" s="161" customFormat="1" ht="36.75" customHeight="1" x14ac:dyDescent="0.3">
      <c r="B44" s="317">
        <f>'Product Details'!B43</f>
        <v>0</v>
      </c>
      <c r="C44" s="318">
        <f>'Product Details'!C43</f>
        <v>0</v>
      </c>
      <c r="D44" s="318">
        <f>'Product Details'!E43</f>
        <v>0</v>
      </c>
      <c r="E44" s="319">
        <f>'Product Details'!K43</f>
        <v>0</v>
      </c>
      <c r="F44" s="320"/>
      <c r="G44" s="321"/>
      <c r="H44" s="322"/>
      <c r="I44" s="330"/>
      <c r="J44" s="331"/>
      <c r="K44" s="329"/>
      <c r="L44" s="321"/>
      <c r="M44" s="332"/>
      <c r="N44" s="333"/>
      <c r="O44" s="321"/>
      <c r="P44" s="334"/>
      <c r="Q44" s="327"/>
      <c r="R44" s="328"/>
    </row>
    <row r="45" spans="2:18" s="161" customFormat="1" ht="36.75" customHeight="1" x14ac:dyDescent="0.3">
      <c r="B45" s="317">
        <f>'Product Details'!B44</f>
        <v>0</v>
      </c>
      <c r="C45" s="318">
        <f>'Product Details'!C44</f>
        <v>0</v>
      </c>
      <c r="D45" s="318">
        <f>'Product Details'!E44</f>
        <v>0</v>
      </c>
      <c r="E45" s="319">
        <f>'Product Details'!K44</f>
        <v>0</v>
      </c>
      <c r="F45" s="320"/>
      <c r="G45" s="321"/>
      <c r="H45" s="322"/>
      <c r="I45" s="330"/>
      <c r="J45" s="331"/>
      <c r="K45" s="329"/>
      <c r="L45" s="321"/>
      <c r="M45" s="332"/>
      <c r="N45" s="333"/>
      <c r="O45" s="321"/>
      <c r="P45" s="334"/>
      <c r="Q45" s="327"/>
      <c r="R45" s="328"/>
    </row>
    <row r="46" spans="2:18" s="161" customFormat="1" ht="36.75" customHeight="1" x14ac:dyDescent="0.3">
      <c r="B46" s="317">
        <f>'Product Details'!B45</f>
        <v>0</v>
      </c>
      <c r="C46" s="318">
        <f>'Product Details'!C45</f>
        <v>0</v>
      </c>
      <c r="D46" s="318">
        <f>'Product Details'!E45</f>
        <v>0</v>
      </c>
      <c r="E46" s="319">
        <f>'Product Details'!K45</f>
        <v>0</v>
      </c>
      <c r="F46" s="320"/>
      <c r="G46" s="321"/>
      <c r="H46" s="322"/>
      <c r="I46" s="330"/>
      <c r="J46" s="331"/>
      <c r="K46" s="329"/>
      <c r="L46" s="321"/>
      <c r="M46" s="332"/>
      <c r="N46" s="333"/>
      <c r="O46" s="321"/>
      <c r="P46" s="334"/>
      <c r="Q46" s="335"/>
      <c r="R46" s="328"/>
    </row>
    <row r="47" spans="2:18" s="161" customFormat="1" ht="36.75" customHeight="1" x14ac:dyDescent="0.3">
      <c r="B47" s="317">
        <f>'Product Details'!B46</f>
        <v>0</v>
      </c>
      <c r="C47" s="318">
        <f>'Product Details'!C46</f>
        <v>0</v>
      </c>
      <c r="D47" s="318">
        <f>'Product Details'!E46</f>
        <v>0</v>
      </c>
      <c r="E47" s="319">
        <f>'Product Details'!K46</f>
        <v>0</v>
      </c>
      <c r="F47" s="320"/>
      <c r="G47" s="321"/>
      <c r="H47" s="322"/>
      <c r="I47" s="330"/>
      <c r="J47" s="331"/>
      <c r="K47" s="329"/>
      <c r="L47" s="321"/>
      <c r="M47" s="332"/>
      <c r="N47" s="333"/>
      <c r="O47" s="321"/>
      <c r="P47" s="334"/>
      <c r="Q47" s="336"/>
      <c r="R47" s="328"/>
    </row>
    <row r="48" spans="2:18" s="161" customFormat="1" ht="36.75" customHeight="1" x14ac:dyDescent="0.3">
      <c r="B48" s="317">
        <f>'Product Details'!B47</f>
        <v>0</v>
      </c>
      <c r="C48" s="318">
        <f>'Product Details'!C47</f>
        <v>0</v>
      </c>
      <c r="D48" s="318">
        <f>'Product Details'!E47</f>
        <v>0</v>
      </c>
      <c r="E48" s="319">
        <f>'Product Details'!K47</f>
        <v>0</v>
      </c>
      <c r="F48" s="320"/>
      <c r="G48" s="321"/>
      <c r="H48" s="322"/>
      <c r="I48" s="330"/>
      <c r="J48" s="331"/>
      <c r="K48" s="329"/>
      <c r="L48" s="321"/>
      <c r="M48" s="332"/>
      <c r="N48" s="333"/>
      <c r="O48" s="321"/>
      <c r="P48" s="334"/>
      <c r="Q48" s="337"/>
      <c r="R48" s="328"/>
    </row>
    <row r="49" spans="2:18" s="161" customFormat="1" ht="36.75" customHeight="1" x14ac:dyDescent="0.3">
      <c r="B49" s="317">
        <f>'Product Details'!B48</f>
        <v>0</v>
      </c>
      <c r="C49" s="318">
        <f>'Product Details'!C48</f>
        <v>0</v>
      </c>
      <c r="D49" s="318">
        <f>'Product Details'!E48</f>
        <v>0</v>
      </c>
      <c r="E49" s="319">
        <f>'Product Details'!K48</f>
        <v>0</v>
      </c>
      <c r="F49" s="320"/>
      <c r="G49" s="321"/>
      <c r="H49" s="322"/>
      <c r="I49" s="330"/>
      <c r="J49" s="331"/>
      <c r="K49" s="329"/>
      <c r="L49" s="321"/>
      <c r="M49" s="332"/>
      <c r="N49" s="333"/>
      <c r="O49" s="321"/>
      <c r="P49" s="334"/>
      <c r="Q49" s="336"/>
      <c r="R49" s="328"/>
    </row>
    <row r="50" spans="2:18" s="161" customFormat="1" ht="36.75" customHeight="1" x14ac:dyDescent="0.3">
      <c r="B50" s="317">
        <f>'Product Details'!B49</f>
        <v>0</v>
      </c>
      <c r="C50" s="318">
        <f>'Product Details'!C49</f>
        <v>0</v>
      </c>
      <c r="D50" s="318">
        <f>'Product Details'!E49</f>
        <v>0</v>
      </c>
      <c r="E50" s="319">
        <f>'Product Details'!K49</f>
        <v>0</v>
      </c>
      <c r="F50" s="320"/>
      <c r="G50" s="321"/>
      <c r="H50" s="322"/>
      <c r="I50" s="330"/>
      <c r="J50" s="331"/>
      <c r="K50" s="329"/>
      <c r="L50" s="321"/>
      <c r="M50" s="332"/>
      <c r="N50" s="333"/>
      <c r="O50" s="321"/>
      <c r="P50" s="334"/>
      <c r="Q50" s="337"/>
      <c r="R50" s="328"/>
    </row>
    <row r="51" spans="2:18" s="161" customFormat="1" ht="36.75" customHeight="1" x14ac:dyDescent="0.3">
      <c r="B51" s="317">
        <f>'Product Details'!B50</f>
        <v>0</v>
      </c>
      <c r="C51" s="318">
        <f>'Product Details'!C50</f>
        <v>0</v>
      </c>
      <c r="D51" s="318">
        <f>'Product Details'!E50</f>
        <v>0</v>
      </c>
      <c r="E51" s="319">
        <f>'Product Details'!K50</f>
        <v>0</v>
      </c>
      <c r="F51" s="320"/>
      <c r="G51" s="321"/>
      <c r="H51" s="322"/>
      <c r="I51" s="330"/>
      <c r="J51" s="331"/>
      <c r="K51" s="329"/>
      <c r="L51" s="321"/>
      <c r="M51" s="332"/>
      <c r="N51" s="333"/>
      <c r="O51" s="321"/>
      <c r="P51" s="334"/>
      <c r="Q51" s="336"/>
      <c r="R51" s="328"/>
    </row>
    <row r="52" spans="2:18" s="161" customFormat="1" ht="36.75" customHeight="1" x14ac:dyDescent="0.3">
      <c r="B52" s="317">
        <f>'Product Details'!B51</f>
        <v>0</v>
      </c>
      <c r="C52" s="318">
        <f>'Product Details'!C51</f>
        <v>0</v>
      </c>
      <c r="D52" s="318">
        <f>'Product Details'!E51</f>
        <v>0</v>
      </c>
      <c r="E52" s="319">
        <f>'Product Details'!K51</f>
        <v>0</v>
      </c>
      <c r="F52" s="320"/>
      <c r="G52" s="321"/>
      <c r="H52" s="322"/>
      <c r="I52" s="330"/>
      <c r="J52" s="331"/>
      <c r="K52" s="329"/>
      <c r="L52" s="321"/>
      <c r="M52" s="332"/>
      <c r="N52" s="333"/>
      <c r="O52" s="321"/>
      <c r="P52" s="334"/>
      <c r="Q52" s="337"/>
      <c r="R52" s="328"/>
    </row>
    <row r="53" spans="2:18" s="161" customFormat="1" ht="36.75" customHeight="1" x14ac:dyDescent="0.3">
      <c r="B53" s="317">
        <f>'Product Details'!B52</f>
        <v>0</v>
      </c>
      <c r="C53" s="318">
        <f>'Product Details'!C52</f>
        <v>0</v>
      </c>
      <c r="D53" s="318">
        <f>'Product Details'!E52</f>
        <v>0</v>
      </c>
      <c r="E53" s="319">
        <f>'Product Details'!K52</f>
        <v>0</v>
      </c>
      <c r="F53" s="320"/>
      <c r="G53" s="321"/>
      <c r="H53" s="322"/>
      <c r="I53" s="330"/>
      <c r="J53" s="331"/>
      <c r="K53" s="329"/>
      <c r="L53" s="321"/>
      <c r="M53" s="332"/>
      <c r="N53" s="333"/>
      <c r="O53" s="321"/>
      <c r="P53" s="334"/>
      <c r="Q53" s="336"/>
      <c r="R53" s="328"/>
    </row>
    <row r="54" spans="2:18" s="161" customFormat="1" ht="36.75" customHeight="1" x14ac:dyDescent="0.3">
      <c r="B54" s="317">
        <f>'Product Details'!B53</f>
        <v>0</v>
      </c>
      <c r="C54" s="318">
        <f>'Product Details'!C53</f>
        <v>0</v>
      </c>
      <c r="D54" s="318">
        <f>'Product Details'!E53</f>
        <v>0</v>
      </c>
      <c r="E54" s="319">
        <f>'Product Details'!K53</f>
        <v>0</v>
      </c>
      <c r="F54" s="320"/>
      <c r="G54" s="321"/>
      <c r="H54" s="322"/>
      <c r="I54" s="330"/>
      <c r="J54" s="331"/>
      <c r="K54" s="329"/>
      <c r="L54" s="321"/>
      <c r="M54" s="332"/>
      <c r="N54" s="333"/>
      <c r="O54" s="321"/>
      <c r="P54" s="334"/>
      <c r="Q54" s="337"/>
      <c r="R54" s="328"/>
    </row>
    <row r="55" spans="2:18" s="161" customFormat="1" ht="36.75" customHeight="1" x14ac:dyDescent="0.3">
      <c r="B55" s="317">
        <f>'Product Details'!B54</f>
        <v>0</v>
      </c>
      <c r="C55" s="318">
        <f>'Product Details'!C54</f>
        <v>0</v>
      </c>
      <c r="D55" s="318">
        <f>'Product Details'!E54</f>
        <v>0</v>
      </c>
      <c r="E55" s="319">
        <f>'Product Details'!K54</f>
        <v>0</v>
      </c>
      <c r="F55" s="320"/>
      <c r="G55" s="321"/>
      <c r="H55" s="322"/>
      <c r="I55" s="330"/>
      <c r="J55" s="331"/>
      <c r="K55" s="329"/>
      <c r="L55" s="321"/>
      <c r="M55" s="332"/>
      <c r="N55" s="333"/>
      <c r="O55" s="321"/>
      <c r="P55" s="334"/>
      <c r="Q55" s="336"/>
      <c r="R55" s="328"/>
    </row>
    <row r="56" spans="2:18" s="161" customFormat="1" ht="36.75" customHeight="1" x14ac:dyDescent="0.3">
      <c r="B56" s="317">
        <f>'Product Details'!B55</f>
        <v>0</v>
      </c>
      <c r="C56" s="318">
        <f>'Product Details'!C55</f>
        <v>0</v>
      </c>
      <c r="D56" s="318">
        <f>'Product Details'!E55</f>
        <v>0</v>
      </c>
      <c r="E56" s="319">
        <f>'Product Details'!K55</f>
        <v>0</v>
      </c>
      <c r="F56" s="320"/>
      <c r="G56" s="321"/>
      <c r="H56" s="322"/>
      <c r="I56" s="330"/>
      <c r="J56" s="331"/>
      <c r="K56" s="329"/>
      <c r="L56" s="321"/>
      <c r="M56" s="332"/>
      <c r="N56" s="333"/>
      <c r="O56" s="321"/>
      <c r="P56" s="334"/>
      <c r="Q56" s="337"/>
      <c r="R56" s="328"/>
    </row>
    <row r="57" spans="2:18" s="161" customFormat="1" ht="36.75" customHeight="1" x14ac:dyDescent="0.3">
      <c r="B57" s="317">
        <f>'Product Details'!B56</f>
        <v>0</v>
      </c>
      <c r="C57" s="318">
        <f>'Product Details'!C56</f>
        <v>0</v>
      </c>
      <c r="D57" s="318">
        <f>'Product Details'!E56</f>
        <v>0</v>
      </c>
      <c r="E57" s="319">
        <f>'Product Details'!K56</f>
        <v>0</v>
      </c>
      <c r="F57" s="320"/>
      <c r="G57" s="321"/>
      <c r="H57" s="322"/>
      <c r="I57" s="330"/>
      <c r="J57" s="331"/>
      <c r="K57" s="329"/>
      <c r="L57" s="321"/>
      <c r="M57" s="332"/>
      <c r="N57" s="333"/>
      <c r="O57" s="321"/>
      <c r="P57" s="334"/>
      <c r="Q57" s="336"/>
      <c r="R57" s="328"/>
    </row>
    <row r="58" spans="2:18" s="161" customFormat="1" ht="36.75" customHeight="1" x14ac:dyDescent="0.3">
      <c r="B58" s="317">
        <f>'Product Details'!B57</f>
        <v>0</v>
      </c>
      <c r="C58" s="318">
        <f>'Product Details'!C57</f>
        <v>0</v>
      </c>
      <c r="D58" s="318">
        <f>'Product Details'!E57</f>
        <v>0</v>
      </c>
      <c r="E58" s="319">
        <f>'Product Details'!K57</f>
        <v>0</v>
      </c>
      <c r="F58" s="320"/>
      <c r="G58" s="321"/>
      <c r="H58" s="322"/>
      <c r="I58" s="330"/>
      <c r="J58" s="331"/>
      <c r="K58" s="329"/>
      <c r="L58" s="321"/>
      <c r="M58" s="332"/>
      <c r="N58" s="333"/>
      <c r="O58" s="321"/>
      <c r="P58" s="334"/>
      <c r="Q58" s="337"/>
      <c r="R58" s="328"/>
    </row>
    <row r="59" spans="2:18" s="161" customFormat="1" ht="36.75" customHeight="1" x14ac:dyDescent="0.3">
      <c r="B59" s="317">
        <f>'Product Details'!B58</f>
        <v>0</v>
      </c>
      <c r="C59" s="318">
        <f>'Product Details'!C58</f>
        <v>0</v>
      </c>
      <c r="D59" s="318">
        <f>'Product Details'!E58</f>
        <v>0</v>
      </c>
      <c r="E59" s="319">
        <f>'Product Details'!K58</f>
        <v>0</v>
      </c>
      <c r="F59" s="320"/>
      <c r="G59" s="321"/>
      <c r="H59" s="322"/>
      <c r="I59" s="330"/>
      <c r="J59" s="331"/>
      <c r="K59" s="329"/>
      <c r="L59" s="321"/>
      <c r="M59" s="332"/>
      <c r="N59" s="333"/>
      <c r="O59" s="321"/>
      <c r="P59" s="334"/>
      <c r="Q59" s="336"/>
      <c r="R59" s="328"/>
    </row>
    <row r="60" spans="2:18" s="161" customFormat="1" ht="36.75" customHeight="1" x14ac:dyDescent="0.3">
      <c r="B60" s="317">
        <f>'Product Details'!B59</f>
        <v>0</v>
      </c>
      <c r="C60" s="318">
        <f>'Product Details'!C59</f>
        <v>0</v>
      </c>
      <c r="D60" s="318">
        <f>'Product Details'!E59</f>
        <v>0</v>
      </c>
      <c r="E60" s="319">
        <f>'Product Details'!K59</f>
        <v>0</v>
      </c>
      <c r="F60" s="320"/>
      <c r="G60" s="321"/>
      <c r="H60" s="322"/>
      <c r="I60" s="330"/>
      <c r="J60" s="331"/>
      <c r="K60" s="329"/>
      <c r="L60" s="321"/>
      <c r="M60" s="332"/>
      <c r="N60" s="333"/>
      <c r="O60" s="321"/>
      <c r="P60" s="334"/>
      <c r="Q60" s="337"/>
      <c r="R60" s="328"/>
    </row>
    <row r="61" spans="2:18" s="161" customFormat="1" ht="36.75" customHeight="1" thickBot="1" x14ac:dyDescent="0.35">
      <c r="B61" s="338">
        <f>'Product Details'!B60</f>
        <v>0</v>
      </c>
      <c r="C61" s="339">
        <f>'Product Details'!C60</f>
        <v>0</v>
      </c>
      <c r="D61" s="339">
        <f>'Product Details'!E60</f>
        <v>0</v>
      </c>
      <c r="E61" s="340">
        <f>'Product Details'!K60</f>
        <v>0</v>
      </c>
      <c r="F61" s="341"/>
      <c r="G61" s="342"/>
      <c r="H61" s="343"/>
      <c r="I61" s="344"/>
      <c r="J61" s="345"/>
      <c r="K61" s="346"/>
      <c r="L61" s="342"/>
      <c r="M61" s="347"/>
      <c r="N61" s="348"/>
      <c r="O61" s="342"/>
      <c r="P61" s="349"/>
      <c r="Q61" s="350"/>
      <c r="R61" s="351"/>
    </row>
  </sheetData>
  <sheetProtection algorithmName="SHA-512" hashValue="mQ1qCxNc5CHyCszNmqRSTb0zG1gzIs92DuUGdrvnGVkWlFJxCILd/GeRU2AGgV0+qrHUVBNY03Vf+NGODtIQjg==" saltValue="FsUrRzWascxYGhZyw7bD+w==" spinCount="100000" sheet="1" formatCells="0" formatColumns="0" formatRows="0" insertRows="0"/>
  <mergeCells count="2">
    <mergeCell ref="R8:R9"/>
    <mergeCell ref="B9:E9"/>
  </mergeCells>
  <conditionalFormatting sqref="G12:G61">
    <cfRule type="expression" dxfId="12" priority="3">
      <formula>IF(AND($F12="f. Other (Please TYPE in)"),$G12="")</formula>
    </cfRule>
  </conditionalFormatting>
  <conditionalFormatting sqref="L12:L61">
    <cfRule type="expression" dxfId="11" priority="2">
      <formula>IF(AND($K12="d. Other (Please TYPE in)"),$L12="")</formula>
    </cfRule>
  </conditionalFormatting>
  <conditionalFormatting sqref="Q12:Q61">
    <cfRule type="expression" dxfId="10" priority="4">
      <formula>IF(AND($K12="Yes"),$N12="")</formula>
    </cfRule>
    <cfRule type="expression" dxfId="9" priority="5">
      <formula>IF(AND($K12="Yes"),$L12="")</formula>
    </cfRule>
  </conditionalFormatting>
  <dataValidations count="7">
    <dataValidation type="list" allowBlank="1" showInputMessage="1" showErrorMessage="1" sqref="Q12:Q61" xr:uid="{19137CB4-60C6-4748-A418-81C7F3624920}">
      <formula1>"AUD, GBP, EUR, USD"</formula1>
    </dataValidation>
    <dataValidation type="textLength" operator="lessThan" allowBlank="1" showInputMessage="1" showErrorMessage="1" sqref="J1:S1 F2 D1:H1 J3:S3 T1:XFD7 S4:S7 B6:R7 H3 H4:R5 D3:F3 B4:E5 F4 X8" xr:uid="{919908C2-221C-4B73-8532-47F3E1C3E89D}">
      <formula1>0</formula1>
    </dataValidation>
    <dataValidation allowBlank="1" showInputMessage="1" sqref="L12:L61 G12:G61" xr:uid="{1F7CFEC2-AC95-4A33-BCED-BCAFFADBEA81}"/>
    <dataValidation operator="lessThan" allowBlank="1" showInputMessage="1" showErrorMessage="1" sqref="D2:F2 H2 J2:S2 Q8:Q9 H8:J10 F8:G11 K8:P11 A8:A11 B10:E11 B8:E8 R8:W11 Y8:XFD11 X9:X11" xr:uid="{F6E294BC-8836-4D88-A21A-63D74E88868C}"/>
    <dataValidation type="list" allowBlank="1" showInputMessage="1" showErrorMessage="1" sqref="F12:F61" xr:uid="{702CEA2B-D992-46B7-ACFE-AA8307CDEFA5}">
      <formula1>$X$2:$X$8</formula1>
    </dataValidation>
    <dataValidation type="list" allowBlank="1" showInputMessage="1" showErrorMessage="1" sqref="K12:K61" xr:uid="{2F43CBE1-F0AE-47EE-A2DB-E8E55FAD1B09}">
      <formula1>FWSSource</formula1>
    </dataValidation>
    <dataValidation type="list" allowBlank="1" showInputMessage="1" showErrorMessage="1" sqref="O12:O61" xr:uid="{327EAD07-0ECA-4046-AFD8-07D93895174C}">
      <formula1>FWSUoM</formula1>
    </dataValidation>
  </dataValidations>
  <pageMargins left="0.25" right="0.25" top="0.25" bottom="0.25" header="0.3" footer="0.3"/>
  <pageSetup scale="34" fitToHeight="0"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1" id="{5128750D-E2A4-4631-A52B-4681D79471B0}">
            <xm:f>'Product Details'!$AX11="Yes - Complete Animal Materials tab"</xm:f>
            <x14:dxf>
              <fill>
                <patternFill>
                  <bgColor rgb="FFFFFF00"/>
                </patternFill>
              </fill>
            </x14:dxf>
          </x14:cfRule>
          <xm:sqref>B12:E61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6CB54-2889-49A1-8E14-157A3B7FCBBC}">
  <sheetPr>
    <pageSetUpPr fitToPage="1"/>
  </sheetPr>
  <dimension ref="B1:Z61"/>
  <sheetViews>
    <sheetView showGridLines="0" zoomScale="80" zoomScaleNormal="80" workbookViewId="0">
      <pane xSplit="4" ySplit="11" topLeftCell="E12" activePane="bottomRight" state="frozen"/>
      <selection activeCell="C15" sqref="C15"/>
      <selection pane="topRight" activeCell="C15" sqref="C15"/>
      <selection pane="bottomLeft" activeCell="C15" sqref="C15"/>
      <selection pane="bottomRight" activeCell="E12" sqref="E12"/>
    </sheetView>
  </sheetViews>
  <sheetFormatPr defaultColWidth="9.109375" defaultRowHeight="15" x14ac:dyDescent="0.35"/>
  <cols>
    <col min="1" max="1" width="4" style="112" customWidth="1"/>
    <col min="2" max="3" width="20.5546875" style="124" customWidth="1"/>
    <col min="4" max="4" width="42.5546875" style="124" customWidth="1"/>
    <col min="5" max="5" width="43" style="124" customWidth="1"/>
    <col min="6" max="9" width="25.5546875" style="124" customWidth="1"/>
    <col min="10" max="11" width="42.6640625" style="124" customWidth="1"/>
    <col min="12" max="12" width="30.6640625" style="126" customWidth="1"/>
    <col min="13" max="13" width="25.6640625" style="126" customWidth="1"/>
    <col min="14" max="14" width="28.21875" style="126" customWidth="1"/>
    <col min="15" max="15" width="47.44140625" style="126" customWidth="1"/>
    <col min="16" max="19" width="2.77734375" style="112" customWidth="1"/>
    <col min="20" max="20" width="61.5546875" style="112" hidden="1" customWidth="1"/>
    <col min="21" max="21" width="1.6640625" style="112" hidden="1" customWidth="1"/>
    <col min="22" max="22" width="24.88671875" style="112" hidden="1" customWidth="1"/>
    <col min="23" max="23" width="2.6640625" style="112" hidden="1" customWidth="1"/>
    <col min="24" max="24" width="5" style="112" hidden="1" customWidth="1"/>
    <col min="25" max="25" width="2.6640625" style="112" hidden="1" customWidth="1"/>
    <col min="26" max="26" width="46.5546875" style="112" hidden="1" customWidth="1"/>
    <col min="27" max="27" width="1.33203125" style="112" customWidth="1"/>
    <col min="28" max="16384" width="9.109375" style="112"/>
  </cols>
  <sheetData>
    <row r="1" spans="2:26" ht="18" customHeight="1" thickBot="1" x14ac:dyDescent="0.4">
      <c r="C1" s="162"/>
      <c r="D1" s="162"/>
      <c r="E1" s="162"/>
      <c r="F1" s="162"/>
      <c r="G1" s="162"/>
      <c r="H1" s="162"/>
      <c r="I1" s="162"/>
      <c r="J1" s="162"/>
      <c r="K1" s="162"/>
      <c r="L1" s="162"/>
      <c r="M1" s="162"/>
      <c r="N1" s="162"/>
      <c r="O1" s="162"/>
    </row>
    <row r="2" spans="2:26" ht="19.5" customHeight="1" x14ac:dyDescent="0.35">
      <c r="C2" s="118"/>
      <c r="D2" s="118"/>
      <c r="E2" s="118"/>
      <c r="F2" s="119" t="s">
        <v>114</v>
      </c>
      <c r="G2" s="118"/>
      <c r="H2" s="118"/>
      <c r="I2" s="118"/>
      <c r="J2" s="118"/>
      <c r="K2" s="118"/>
      <c r="L2" s="118"/>
      <c r="M2" s="118"/>
      <c r="N2" s="118"/>
      <c r="O2" s="118"/>
      <c r="T2" s="163" t="s">
        <v>316</v>
      </c>
      <c r="U2" s="164"/>
      <c r="V2" s="164" t="s">
        <v>123</v>
      </c>
      <c r="W2" s="164"/>
      <c r="X2" s="164" t="s">
        <v>121</v>
      </c>
      <c r="Y2" s="164"/>
      <c r="Z2" s="165" t="s">
        <v>122</v>
      </c>
    </row>
    <row r="3" spans="2:26" ht="19.5" customHeight="1" x14ac:dyDescent="0.35">
      <c r="B3" s="112"/>
      <c r="C3" s="122"/>
      <c r="D3" s="122"/>
      <c r="E3" s="122"/>
      <c r="F3" s="123" t="s">
        <v>89</v>
      </c>
      <c r="G3" s="122"/>
      <c r="H3" s="122"/>
      <c r="I3" s="122"/>
      <c r="J3" s="122"/>
      <c r="K3" s="122"/>
      <c r="L3" s="122"/>
      <c r="M3" s="122"/>
      <c r="N3" s="122"/>
      <c r="O3" s="122"/>
      <c r="T3" s="166"/>
      <c r="V3" s="167"/>
      <c r="X3" s="167"/>
      <c r="Z3" s="168"/>
    </row>
    <row r="4" spans="2:26" ht="15.75" customHeight="1" x14ac:dyDescent="0.35">
      <c r="B4" s="169"/>
      <c r="C4" s="169"/>
      <c r="D4" s="169"/>
      <c r="E4" s="169"/>
      <c r="F4" s="112"/>
      <c r="G4" s="169"/>
      <c r="H4" s="169"/>
      <c r="I4" s="169"/>
      <c r="J4" s="169"/>
      <c r="K4" s="169"/>
      <c r="L4" s="169"/>
      <c r="M4" s="169"/>
      <c r="N4" s="169"/>
      <c r="O4" s="169"/>
      <c r="T4" s="166" t="s">
        <v>124</v>
      </c>
      <c r="V4" s="167" t="s">
        <v>126</v>
      </c>
      <c r="X4" s="167" t="s">
        <v>125</v>
      </c>
      <c r="Z4" s="168" t="s">
        <v>317</v>
      </c>
    </row>
    <row r="5" spans="2:26" ht="12.75" customHeight="1" x14ac:dyDescent="0.35">
      <c r="B5" s="169"/>
      <c r="C5" s="169"/>
      <c r="D5" s="169"/>
      <c r="E5" s="169"/>
      <c r="F5" s="127" t="s">
        <v>299</v>
      </c>
      <c r="G5" s="169"/>
      <c r="H5" s="169"/>
      <c r="I5" s="169"/>
      <c r="J5" s="169"/>
      <c r="K5" s="169"/>
      <c r="L5" s="169"/>
      <c r="M5" s="169"/>
      <c r="N5" s="169"/>
      <c r="O5" s="169"/>
      <c r="T5" s="166" t="s">
        <v>127</v>
      </c>
      <c r="V5" s="167" t="s">
        <v>130</v>
      </c>
      <c r="X5" s="167" t="s">
        <v>128</v>
      </c>
      <c r="Z5" s="168" t="s">
        <v>129</v>
      </c>
    </row>
    <row r="6" spans="2:26" ht="12.75" customHeight="1" x14ac:dyDescent="0.35">
      <c r="B6" s="169"/>
      <c r="C6" s="169"/>
      <c r="D6" s="169"/>
      <c r="E6" s="169"/>
      <c r="F6" s="169"/>
      <c r="G6" s="169"/>
      <c r="H6" s="169"/>
      <c r="I6" s="169"/>
      <c r="J6" s="169"/>
      <c r="K6" s="169"/>
      <c r="L6" s="169"/>
      <c r="M6" s="169"/>
      <c r="N6" s="169"/>
      <c r="O6" s="169"/>
      <c r="T6" s="166" t="s">
        <v>41</v>
      </c>
      <c r="V6" s="167"/>
      <c r="X6" s="167" t="s">
        <v>131</v>
      </c>
      <c r="Z6" s="168"/>
    </row>
    <row r="7" spans="2:26" ht="12.75" customHeight="1" thickBot="1" x14ac:dyDescent="0.4">
      <c r="B7" s="169"/>
      <c r="C7" s="169"/>
      <c r="D7" s="169"/>
      <c r="E7" s="169"/>
      <c r="F7" s="169"/>
      <c r="G7" s="169"/>
      <c r="H7" s="169"/>
      <c r="I7" s="169"/>
      <c r="J7" s="169"/>
      <c r="K7" s="169"/>
      <c r="L7" s="169"/>
      <c r="M7" s="169"/>
      <c r="N7" s="169"/>
      <c r="O7" s="169"/>
      <c r="T7" s="166" t="s">
        <v>132</v>
      </c>
      <c r="V7" s="167"/>
      <c r="X7" s="167" t="s">
        <v>133</v>
      </c>
      <c r="Z7" s="168"/>
    </row>
    <row r="8" spans="2:26" ht="45" customHeight="1" thickBot="1" x14ac:dyDescent="0.4">
      <c r="B8" s="525" t="s">
        <v>261</v>
      </c>
      <c r="C8" s="526"/>
      <c r="D8" s="526"/>
      <c r="E8" s="526"/>
      <c r="F8" s="526"/>
      <c r="G8" s="526"/>
      <c r="H8" s="526"/>
      <c r="I8" s="527"/>
      <c r="J8" s="528" t="s">
        <v>115</v>
      </c>
      <c r="K8" s="529"/>
      <c r="L8" s="529"/>
      <c r="M8" s="529"/>
      <c r="N8" s="530" t="s">
        <v>274</v>
      </c>
      <c r="O8" s="531"/>
      <c r="T8" s="171" t="s">
        <v>134</v>
      </c>
      <c r="U8" s="132"/>
      <c r="V8" s="172"/>
      <c r="W8" s="132"/>
      <c r="X8" s="172"/>
      <c r="Y8" s="132"/>
      <c r="Z8" s="173"/>
    </row>
    <row r="9" spans="2:26" ht="39.75" customHeight="1" thickBot="1" x14ac:dyDescent="0.4">
      <c r="B9" s="522" t="s">
        <v>318</v>
      </c>
      <c r="C9" s="523"/>
      <c r="D9" s="524"/>
      <c r="E9" s="170" t="s">
        <v>262</v>
      </c>
      <c r="F9" s="174"/>
      <c r="G9" s="174"/>
      <c r="H9" s="174"/>
      <c r="I9" s="175"/>
      <c r="J9" s="176" t="s">
        <v>116</v>
      </c>
      <c r="K9" s="177" t="s">
        <v>117</v>
      </c>
      <c r="L9" s="528" t="s">
        <v>118</v>
      </c>
      <c r="M9" s="529"/>
      <c r="N9" s="532"/>
      <c r="O9" s="533"/>
    </row>
    <row r="10" spans="2:26" s="136" customFormat="1" ht="105.75" customHeight="1" x14ac:dyDescent="0.3">
      <c r="B10" s="137" t="s">
        <v>20</v>
      </c>
      <c r="C10" s="138" t="s">
        <v>59</v>
      </c>
      <c r="D10" s="138" t="s">
        <v>144</v>
      </c>
      <c r="E10" s="148" t="s">
        <v>263</v>
      </c>
      <c r="F10" s="178" t="s">
        <v>92</v>
      </c>
      <c r="G10" s="179" t="s">
        <v>119</v>
      </c>
      <c r="H10" s="179" t="s">
        <v>120</v>
      </c>
      <c r="I10" s="180" t="s">
        <v>264</v>
      </c>
      <c r="J10" s="181" t="s">
        <v>268</v>
      </c>
      <c r="K10" s="181" t="s">
        <v>269</v>
      </c>
      <c r="L10" s="143" t="s">
        <v>270</v>
      </c>
      <c r="M10" s="144" t="s">
        <v>271</v>
      </c>
      <c r="N10" s="142" t="s">
        <v>275</v>
      </c>
      <c r="O10" s="182" t="s">
        <v>276</v>
      </c>
      <c r="Q10" s="183"/>
    </row>
    <row r="11" spans="2:26" s="136" customFormat="1" ht="34.5" customHeight="1" thickBot="1" x14ac:dyDescent="0.35">
      <c r="B11" s="149" t="s">
        <v>309</v>
      </c>
      <c r="C11" s="184" t="s">
        <v>309</v>
      </c>
      <c r="D11" s="184" t="s">
        <v>309</v>
      </c>
      <c r="E11" s="185" t="s">
        <v>393</v>
      </c>
      <c r="F11" s="154" t="s">
        <v>265</v>
      </c>
      <c r="G11" s="155" t="s">
        <v>266</v>
      </c>
      <c r="H11" s="155" t="s">
        <v>267</v>
      </c>
      <c r="I11" s="186"/>
      <c r="J11" s="185" t="s">
        <v>272</v>
      </c>
      <c r="K11" s="185" t="s">
        <v>272</v>
      </c>
      <c r="L11" s="157" t="s">
        <v>273</v>
      </c>
      <c r="M11" s="186" t="s">
        <v>272</v>
      </c>
      <c r="N11" s="187" t="s">
        <v>272</v>
      </c>
      <c r="O11" s="188" t="s">
        <v>277</v>
      </c>
    </row>
    <row r="12" spans="2:26" s="189" customFormat="1" ht="36.75" customHeight="1" x14ac:dyDescent="0.3">
      <c r="B12" s="304" t="e">
        <f>'Product Details'!#REF!</f>
        <v>#REF!</v>
      </c>
      <c r="C12" s="305" t="e">
        <f>'Product Details'!#REF!</f>
        <v>#REF!</v>
      </c>
      <c r="D12" s="305" t="e">
        <f>'Product Details'!#REF!</f>
        <v>#REF!</v>
      </c>
      <c r="E12" s="352"/>
      <c r="F12" s="353"/>
      <c r="G12" s="354"/>
      <c r="H12" s="354"/>
      <c r="I12" s="355"/>
      <c r="J12" s="356"/>
      <c r="K12" s="357"/>
      <c r="L12" s="358"/>
      <c r="M12" s="359"/>
      <c r="N12" s="309"/>
      <c r="O12" s="355"/>
    </row>
    <row r="13" spans="2:26" s="189" customFormat="1" ht="36.75" customHeight="1" x14ac:dyDescent="0.3">
      <c r="B13" s="317">
        <f>'Product Details'!B12</f>
        <v>0</v>
      </c>
      <c r="C13" s="318">
        <f>'Product Details'!C12</f>
        <v>0</v>
      </c>
      <c r="D13" s="318">
        <f>'Product Details'!E12</f>
        <v>0</v>
      </c>
      <c r="E13" s="360"/>
      <c r="F13" s="361"/>
      <c r="G13" s="362"/>
      <c r="H13" s="362"/>
      <c r="I13" s="363"/>
      <c r="J13" s="364"/>
      <c r="K13" s="316"/>
      <c r="L13" s="323"/>
      <c r="M13" s="324"/>
      <c r="N13" s="322"/>
      <c r="O13" s="363"/>
    </row>
    <row r="14" spans="2:26" s="189" customFormat="1" ht="36.75" customHeight="1" x14ac:dyDescent="0.3">
      <c r="B14" s="317">
        <f>'Product Details'!B13</f>
        <v>0</v>
      </c>
      <c r="C14" s="318">
        <f>'Product Details'!C13</f>
        <v>0</v>
      </c>
      <c r="D14" s="318">
        <f>'Product Details'!E13</f>
        <v>0</v>
      </c>
      <c r="E14" s="360"/>
      <c r="F14" s="361"/>
      <c r="G14" s="362"/>
      <c r="H14" s="362"/>
      <c r="I14" s="363"/>
      <c r="J14" s="364"/>
      <c r="K14" s="316"/>
      <c r="L14" s="323"/>
      <c r="M14" s="324"/>
      <c r="N14" s="322"/>
      <c r="O14" s="363"/>
    </row>
    <row r="15" spans="2:26" s="189" customFormat="1" ht="36.75" customHeight="1" x14ac:dyDescent="0.3">
      <c r="B15" s="317">
        <f>'Product Details'!B14</f>
        <v>0</v>
      </c>
      <c r="C15" s="318">
        <f>'Product Details'!C14</f>
        <v>0</v>
      </c>
      <c r="D15" s="318">
        <f>'Product Details'!E14</f>
        <v>0</v>
      </c>
      <c r="E15" s="360"/>
      <c r="F15" s="361"/>
      <c r="G15" s="362"/>
      <c r="H15" s="362"/>
      <c r="I15" s="363"/>
      <c r="J15" s="364"/>
      <c r="K15" s="316"/>
      <c r="L15" s="323"/>
      <c r="M15" s="324"/>
      <c r="N15" s="322"/>
      <c r="O15" s="363"/>
    </row>
    <row r="16" spans="2:26" s="189" customFormat="1" ht="36.75" customHeight="1" x14ac:dyDescent="0.3">
      <c r="B16" s="317">
        <f>'Product Details'!B11</f>
        <v>591727</v>
      </c>
      <c r="C16" s="318">
        <f>'Product Details'!C11</f>
        <v>6261</v>
      </c>
      <c r="D16" s="318" t="str">
        <f>'Product Details'!E11</f>
        <v>14 25X4X10 75 GLD BIRDS ON A TWIG</v>
      </c>
      <c r="E16" s="360"/>
      <c r="F16" s="361"/>
      <c r="G16" s="362"/>
      <c r="H16" s="362"/>
      <c r="I16" s="363"/>
      <c r="J16" s="364"/>
      <c r="K16" s="316"/>
      <c r="L16" s="323"/>
      <c r="M16" s="324"/>
      <c r="N16" s="322"/>
      <c r="O16" s="363"/>
    </row>
    <row r="17" spans="2:15" s="189" customFormat="1" ht="36.75" customHeight="1" x14ac:dyDescent="0.3">
      <c r="B17" s="317">
        <f>'Product Details'!B16</f>
        <v>0</v>
      </c>
      <c r="C17" s="318">
        <f>'Product Details'!C16</f>
        <v>0</v>
      </c>
      <c r="D17" s="318">
        <f>'Product Details'!E16</f>
        <v>0</v>
      </c>
      <c r="E17" s="360"/>
      <c r="F17" s="361"/>
      <c r="G17" s="362"/>
      <c r="H17" s="362"/>
      <c r="I17" s="363"/>
      <c r="J17" s="364"/>
      <c r="K17" s="316"/>
      <c r="L17" s="323"/>
      <c r="M17" s="324"/>
      <c r="N17" s="322"/>
      <c r="O17" s="363"/>
    </row>
    <row r="18" spans="2:15" s="189" customFormat="1" ht="36.75" customHeight="1" x14ac:dyDescent="0.3">
      <c r="B18" s="317">
        <f>'Product Details'!B17</f>
        <v>0</v>
      </c>
      <c r="C18" s="318">
        <f>'Product Details'!C17</f>
        <v>0</v>
      </c>
      <c r="D18" s="318">
        <f>'Product Details'!E17</f>
        <v>0</v>
      </c>
      <c r="E18" s="360"/>
      <c r="F18" s="361"/>
      <c r="G18" s="362"/>
      <c r="H18" s="362"/>
      <c r="I18" s="363"/>
      <c r="J18" s="364"/>
      <c r="K18" s="316"/>
      <c r="L18" s="323"/>
      <c r="M18" s="324"/>
      <c r="N18" s="322"/>
      <c r="O18" s="363"/>
    </row>
    <row r="19" spans="2:15" s="189" customFormat="1" ht="36.75" customHeight="1" x14ac:dyDescent="0.3">
      <c r="B19" s="317">
        <f>'Product Details'!B18</f>
        <v>0</v>
      </c>
      <c r="C19" s="318">
        <f>'Product Details'!C18</f>
        <v>0</v>
      </c>
      <c r="D19" s="318">
        <f>'Product Details'!E18</f>
        <v>0</v>
      </c>
      <c r="E19" s="360"/>
      <c r="F19" s="361"/>
      <c r="G19" s="362"/>
      <c r="H19" s="362"/>
      <c r="I19" s="363"/>
      <c r="J19" s="364"/>
      <c r="K19" s="316"/>
      <c r="L19" s="323"/>
      <c r="M19" s="324"/>
      <c r="N19" s="322"/>
      <c r="O19" s="363"/>
    </row>
    <row r="20" spans="2:15" s="189" customFormat="1" ht="36.75" customHeight="1" x14ac:dyDescent="0.3">
      <c r="B20" s="317">
        <f>'Product Details'!B19</f>
        <v>0</v>
      </c>
      <c r="C20" s="318">
        <f>'Product Details'!C19</f>
        <v>0</v>
      </c>
      <c r="D20" s="318">
        <f>'Product Details'!E19</f>
        <v>0</v>
      </c>
      <c r="E20" s="360"/>
      <c r="F20" s="361"/>
      <c r="G20" s="362"/>
      <c r="H20" s="362"/>
      <c r="I20" s="363"/>
      <c r="J20" s="364"/>
      <c r="K20" s="316"/>
      <c r="L20" s="323"/>
      <c r="M20" s="324"/>
      <c r="N20" s="322"/>
      <c r="O20" s="363"/>
    </row>
    <row r="21" spans="2:15" s="189" customFormat="1" ht="36.75" customHeight="1" x14ac:dyDescent="0.3">
      <c r="B21" s="317">
        <f>'Product Details'!B20</f>
        <v>0</v>
      </c>
      <c r="C21" s="318">
        <f>'Product Details'!C20</f>
        <v>0</v>
      </c>
      <c r="D21" s="318">
        <f>'Product Details'!E20</f>
        <v>0</v>
      </c>
      <c r="E21" s="360"/>
      <c r="F21" s="361"/>
      <c r="G21" s="362"/>
      <c r="H21" s="362"/>
      <c r="I21" s="363"/>
      <c r="J21" s="364"/>
      <c r="K21" s="316"/>
      <c r="L21" s="323"/>
      <c r="M21" s="324"/>
      <c r="N21" s="322"/>
      <c r="O21" s="363"/>
    </row>
    <row r="22" spans="2:15" s="189" customFormat="1" ht="36.75" customHeight="1" x14ac:dyDescent="0.3">
      <c r="B22" s="317">
        <f>'Product Details'!B21</f>
        <v>0</v>
      </c>
      <c r="C22" s="318">
        <f>'Product Details'!C21</f>
        <v>0</v>
      </c>
      <c r="D22" s="318">
        <f>'Product Details'!E21</f>
        <v>0</v>
      </c>
      <c r="E22" s="360"/>
      <c r="F22" s="361"/>
      <c r="G22" s="362"/>
      <c r="H22" s="362"/>
      <c r="I22" s="363"/>
      <c r="J22" s="364"/>
      <c r="K22" s="316"/>
      <c r="L22" s="323"/>
      <c r="M22" s="324"/>
      <c r="N22" s="322"/>
      <c r="O22" s="363"/>
    </row>
    <row r="23" spans="2:15" s="189" customFormat="1" ht="36.75" customHeight="1" x14ac:dyDescent="0.3">
      <c r="B23" s="317">
        <f>'Product Details'!B22</f>
        <v>0</v>
      </c>
      <c r="C23" s="318">
        <f>'Product Details'!C22</f>
        <v>0</v>
      </c>
      <c r="D23" s="318">
        <f>'Product Details'!E22</f>
        <v>0</v>
      </c>
      <c r="E23" s="360"/>
      <c r="F23" s="361"/>
      <c r="G23" s="362"/>
      <c r="H23" s="362"/>
      <c r="I23" s="363"/>
      <c r="J23" s="364"/>
      <c r="K23" s="316"/>
      <c r="L23" s="323"/>
      <c r="M23" s="324"/>
      <c r="N23" s="322"/>
      <c r="O23" s="363"/>
    </row>
    <row r="24" spans="2:15" s="189" customFormat="1" ht="36.75" customHeight="1" x14ac:dyDescent="0.3">
      <c r="B24" s="317">
        <f>'Product Details'!B23</f>
        <v>0</v>
      </c>
      <c r="C24" s="318">
        <f>'Product Details'!C23</f>
        <v>0</v>
      </c>
      <c r="D24" s="318">
        <f>'Product Details'!E23</f>
        <v>0</v>
      </c>
      <c r="E24" s="360"/>
      <c r="F24" s="361"/>
      <c r="G24" s="362"/>
      <c r="H24" s="362"/>
      <c r="I24" s="363"/>
      <c r="J24" s="364"/>
      <c r="K24" s="316"/>
      <c r="L24" s="323"/>
      <c r="M24" s="324"/>
      <c r="N24" s="322"/>
      <c r="O24" s="363"/>
    </row>
    <row r="25" spans="2:15" s="189" customFormat="1" ht="36.75" customHeight="1" x14ac:dyDescent="0.3">
      <c r="B25" s="317">
        <f>'Product Details'!B24</f>
        <v>0</v>
      </c>
      <c r="C25" s="318">
        <f>'Product Details'!C24</f>
        <v>0</v>
      </c>
      <c r="D25" s="318">
        <f>'Product Details'!E24</f>
        <v>0</v>
      </c>
      <c r="E25" s="360"/>
      <c r="F25" s="361"/>
      <c r="G25" s="362"/>
      <c r="H25" s="362"/>
      <c r="I25" s="363"/>
      <c r="J25" s="364"/>
      <c r="K25" s="316"/>
      <c r="L25" s="323"/>
      <c r="M25" s="324"/>
      <c r="N25" s="322"/>
      <c r="O25" s="363"/>
    </row>
    <row r="26" spans="2:15" s="189" customFormat="1" ht="36.75" customHeight="1" x14ac:dyDescent="0.3">
      <c r="B26" s="317">
        <f>'Product Details'!B25</f>
        <v>0</v>
      </c>
      <c r="C26" s="318">
        <f>'Product Details'!C25</f>
        <v>0</v>
      </c>
      <c r="D26" s="318">
        <f>'Product Details'!E25</f>
        <v>0</v>
      </c>
      <c r="E26" s="360"/>
      <c r="F26" s="361"/>
      <c r="G26" s="362"/>
      <c r="H26" s="362"/>
      <c r="I26" s="363"/>
      <c r="J26" s="364"/>
      <c r="K26" s="316"/>
      <c r="L26" s="323"/>
      <c r="M26" s="324"/>
      <c r="N26" s="322"/>
      <c r="O26" s="363"/>
    </row>
    <row r="27" spans="2:15" s="189" customFormat="1" ht="36.75" customHeight="1" x14ac:dyDescent="0.3">
      <c r="B27" s="317">
        <f>'Product Details'!B26</f>
        <v>0</v>
      </c>
      <c r="C27" s="318">
        <f>'Product Details'!C26</f>
        <v>0</v>
      </c>
      <c r="D27" s="318">
        <f>'Product Details'!E26</f>
        <v>0</v>
      </c>
      <c r="E27" s="360"/>
      <c r="F27" s="361"/>
      <c r="G27" s="362"/>
      <c r="H27" s="362"/>
      <c r="I27" s="363"/>
      <c r="J27" s="364"/>
      <c r="K27" s="316"/>
      <c r="L27" s="323"/>
      <c r="M27" s="324"/>
      <c r="N27" s="322"/>
      <c r="O27" s="363"/>
    </row>
    <row r="28" spans="2:15" s="189" customFormat="1" ht="36.75" customHeight="1" x14ac:dyDescent="0.3">
      <c r="B28" s="317">
        <f>'Product Details'!B27</f>
        <v>0</v>
      </c>
      <c r="C28" s="318">
        <f>'Product Details'!C27</f>
        <v>0</v>
      </c>
      <c r="D28" s="318">
        <f>'Product Details'!E27</f>
        <v>0</v>
      </c>
      <c r="E28" s="360"/>
      <c r="F28" s="361"/>
      <c r="G28" s="362"/>
      <c r="H28" s="362"/>
      <c r="I28" s="363"/>
      <c r="J28" s="364"/>
      <c r="K28" s="316"/>
      <c r="L28" s="323"/>
      <c r="M28" s="324"/>
      <c r="N28" s="322"/>
      <c r="O28" s="363"/>
    </row>
    <row r="29" spans="2:15" s="189" customFormat="1" ht="36.75" customHeight="1" x14ac:dyDescent="0.3">
      <c r="B29" s="317">
        <f>'Product Details'!B28</f>
        <v>0</v>
      </c>
      <c r="C29" s="318">
        <f>'Product Details'!C28</f>
        <v>0</v>
      </c>
      <c r="D29" s="318">
        <f>'Product Details'!E28</f>
        <v>0</v>
      </c>
      <c r="E29" s="360"/>
      <c r="F29" s="361"/>
      <c r="G29" s="362"/>
      <c r="H29" s="362"/>
      <c r="I29" s="363"/>
      <c r="J29" s="364"/>
      <c r="K29" s="316"/>
      <c r="L29" s="323"/>
      <c r="M29" s="324"/>
      <c r="N29" s="322"/>
      <c r="O29" s="363"/>
    </row>
    <row r="30" spans="2:15" s="189" customFormat="1" ht="36.75" customHeight="1" x14ac:dyDescent="0.3">
      <c r="B30" s="317">
        <f>'Product Details'!B29</f>
        <v>0</v>
      </c>
      <c r="C30" s="318">
        <f>'Product Details'!C29</f>
        <v>0</v>
      </c>
      <c r="D30" s="318">
        <f>'Product Details'!E29</f>
        <v>0</v>
      </c>
      <c r="E30" s="360"/>
      <c r="F30" s="361"/>
      <c r="G30" s="362"/>
      <c r="H30" s="362"/>
      <c r="I30" s="363"/>
      <c r="J30" s="364"/>
      <c r="K30" s="316"/>
      <c r="L30" s="323"/>
      <c r="M30" s="324"/>
      <c r="N30" s="322"/>
      <c r="O30" s="363"/>
    </row>
    <row r="31" spans="2:15" s="189" customFormat="1" ht="36.75" customHeight="1" x14ac:dyDescent="0.3">
      <c r="B31" s="317">
        <f>'Product Details'!B30</f>
        <v>0</v>
      </c>
      <c r="C31" s="318">
        <f>'Product Details'!C30</f>
        <v>0</v>
      </c>
      <c r="D31" s="318">
        <f>'Product Details'!E30</f>
        <v>0</v>
      </c>
      <c r="E31" s="365"/>
      <c r="F31" s="361"/>
      <c r="G31" s="362"/>
      <c r="H31" s="362"/>
      <c r="I31" s="363"/>
      <c r="J31" s="364"/>
      <c r="K31" s="316"/>
      <c r="L31" s="323"/>
      <c r="M31" s="324"/>
      <c r="N31" s="366"/>
      <c r="O31" s="367"/>
    </row>
    <row r="32" spans="2:15" s="189" customFormat="1" ht="36.75" customHeight="1" x14ac:dyDescent="0.3">
      <c r="B32" s="317">
        <f>'Product Details'!B31</f>
        <v>0</v>
      </c>
      <c r="C32" s="318">
        <f>'Product Details'!C31</f>
        <v>0</v>
      </c>
      <c r="D32" s="318">
        <f>'Product Details'!E31</f>
        <v>0</v>
      </c>
      <c r="E32" s="360"/>
      <c r="F32" s="361"/>
      <c r="G32" s="362"/>
      <c r="H32" s="362"/>
      <c r="I32" s="363"/>
      <c r="J32" s="364"/>
      <c r="K32" s="316"/>
      <c r="L32" s="323"/>
      <c r="M32" s="324"/>
      <c r="N32" s="322"/>
      <c r="O32" s="363"/>
    </row>
    <row r="33" spans="2:15" s="189" customFormat="1" ht="36.75" customHeight="1" x14ac:dyDescent="0.3">
      <c r="B33" s="317">
        <f>'Product Details'!B32</f>
        <v>0</v>
      </c>
      <c r="C33" s="318">
        <f>'Product Details'!C32</f>
        <v>0</v>
      </c>
      <c r="D33" s="318">
        <f>'Product Details'!E32</f>
        <v>0</v>
      </c>
      <c r="E33" s="360"/>
      <c r="F33" s="361"/>
      <c r="G33" s="362"/>
      <c r="H33" s="362"/>
      <c r="I33" s="363"/>
      <c r="J33" s="364"/>
      <c r="K33" s="316"/>
      <c r="L33" s="323"/>
      <c r="M33" s="324"/>
      <c r="N33" s="322"/>
      <c r="O33" s="363"/>
    </row>
    <row r="34" spans="2:15" s="189" customFormat="1" ht="36.75" customHeight="1" x14ac:dyDescent="0.3">
      <c r="B34" s="317">
        <f>'Product Details'!B33</f>
        <v>0</v>
      </c>
      <c r="C34" s="318">
        <f>'Product Details'!C33</f>
        <v>0</v>
      </c>
      <c r="D34" s="318">
        <f>'Product Details'!E33</f>
        <v>0</v>
      </c>
      <c r="E34" s="360"/>
      <c r="F34" s="361"/>
      <c r="G34" s="362"/>
      <c r="H34" s="362"/>
      <c r="I34" s="363"/>
      <c r="J34" s="364"/>
      <c r="K34" s="316"/>
      <c r="L34" s="323"/>
      <c r="M34" s="324"/>
      <c r="N34" s="322"/>
      <c r="O34" s="363"/>
    </row>
    <row r="35" spans="2:15" s="189" customFormat="1" ht="36.75" customHeight="1" x14ac:dyDescent="0.3">
      <c r="B35" s="317">
        <f>'Product Details'!B34</f>
        <v>0</v>
      </c>
      <c r="C35" s="318">
        <f>'Product Details'!C34</f>
        <v>0</v>
      </c>
      <c r="D35" s="318">
        <f>'Product Details'!E34</f>
        <v>0</v>
      </c>
      <c r="E35" s="360"/>
      <c r="F35" s="361"/>
      <c r="G35" s="362"/>
      <c r="H35" s="362"/>
      <c r="I35" s="363"/>
      <c r="J35" s="364"/>
      <c r="K35" s="316"/>
      <c r="L35" s="323"/>
      <c r="M35" s="324"/>
      <c r="N35" s="322"/>
      <c r="O35" s="363"/>
    </row>
    <row r="36" spans="2:15" s="189" customFormat="1" ht="36.75" customHeight="1" x14ac:dyDescent="0.3">
      <c r="B36" s="317">
        <f>'Product Details'!B35</f>
        <v>0</v>
      </c>
      <c r="C36" s="318">
        <f>'Product Details'!C35</f>
        <v>0</v>
      </c>
      <c r="D36" s="318">
        <f>'Product Details'!E35</f>
        <v>0</v>
      </c>
      <c r="E36" s="360"/>
      <c r="F36" s="361"/>
      <c r="G36" s="362"/>
      <c r="H36" s="362"/>
      <c r="I36" s="363"/>
      <c r="J36" s="364"/>
      <c r="K36" s="316"/>
      <c r="L36" s="323"/>
      <c r="M36" s="324"/>
      <c r="N36" s="322"/>
      <c r="O36" s="363"/>
    </row>
    <row r="37" spans="2:15" s="189" customFormat="1" ht="36.75" customHeight="1" x14ac:dyDescent="0.3">
      <c r="B37" s="383">
        <f>'Product Details'!B36</f>
        <v>0</v>
      </c>
      <c r="C37" s="384">
        <f>'Product Details'!C36</f>
        <v>0</v>
      </c>
      <c r="D37" s="384">
        <f>'Product Details'!E36</f>
        <v>0</v>
      </c>
      <c r="E37" s="352"/>
      <c r="F37" s="353"/>
      <c r="G37" s="354"/>
      <c r="H37" s="354"/>
      <c r="I37" s="355"/>
      <c r="J37" s="356"/>
      <c r="K37" s="357"/>
      <c r="L37" s="358"/>
      <c r="M37" s="359"/>
      <c r="N37" s="309"/>
      <c r="O37" s="355"/>
    </row>
    <row r="38" spans="2:15" s="189" customFormat="1" ht="36.75" customHeight="1" x14ac:dyDescent="0.3">
      <c r="B38" s="317">
        <f>'Product Details'!B37</f>
        <v>0</v>
      </c>
      <c r="C38" s="318">
        <f>'Product Details'!C37</f>
        <v>0</v>
      </c>
      <c r="D38" s="318">
        <f>'Product Details'!E37</f>
        <v>0</v>
      </c>
      <c r="E38" s="360"/>
      <c r="F38" s="361"/>
      <c r="G38" s="362"/>
      <c r="H38" s="362"/>
      <c r="I38" s="363"/>
      <c r="J38" s="364"/>
      <c r="K38" s="316"/>
      <c r="L38" s="323"/>
      <c r="M38" s="324"/>
      <c r="N38" s="322"/>
      <c r="O38" s="363"/>
    </row>
    <row r="39" spans="2:15" s="189" customFormat="1" ht="36.75" customHeight="1" x14ac:dyDescent="0.3">
      <c r="B39" s="317">
        <f>'Product Details'!B38</f>
        <v>0</v>
      </c>
      <c r="C39" s="318">
        <f>'Product Details'!C38</f>
        <v>0</v>
      </c>
      <c r="D39" s="318">
        <f>'Product Details'!E38</f>
        <v>0</v>
      </c>
      <c r="E39" s="360"/>
      <c r="F39" s="361"/>
      <c r="G39" s="362"/>
      <c r="H39" s="362"/>
      <c r="I39" s="363"/>
      <c r="J39" s="364"/>
      <c r="K39" s="316"/>
      <c r="L39" s="323"/>
      <c r="M39" s="324"/>
      <c r="N39" s="322"/>
      <c r="O39" s="363"/>
    </row>
    <row r="40" spans="2:15" s="189" customFormat="1" ht="36.75" customHeight="1" x14ac:dyDescent="0.3">
      <c r="B40" s="317">
        <f>'Product Details'!B39</f>
        <v>0</v>
      </c>
      <c r="C40" s="318">
        <f>'Product Details'!C39</f>
        <v>0</v>
      </c>
      <c r="D40" s="318">
        <f>'Product Details'!E39</f>
        <v>0</v>
      </c>
      <c r="E40" s="360"/>
      <c r="F40" s="361"/>
      <c r="G40" s="362"/>
      <c r="H40" s="362"/>
      <c r="I40" s="363"/>
      <c r="J40" s="364"/>
      <c r="K40" s="316"/>
      <c r="L40" s="323"/>
      <c r="M40" s="324"/>
      <c r="N40" s="322"/>
      <c r="O40" s="363"/>
    </row>
    <row r="41" spans="2:15" s="189" customFormat="1" ht="36.75" customHeight="1" x14ac:dyDescent="0.3">
      <c r="B41" s="317">
        <f>'Product Details'!B40</f>
        <v>0</v>
      </c>
      <c r="C41" s="318">
        <f>'Product Details'!C40</f>
        <v>0</v>
      </c>
      <c r="D41" s="318">
        <f>'Product Details'!E40</f>
        <v>0</v>
      </c>
      <c r="E41" s="360"/>
      <c r="F41" s="361"/>
      <c r="G41" s="362"/>
      <c r="H41" s="362"/>
      <c r="I41" s="363"/>
      <c r="J41" s="364"/>
      <c r="K41" s="316"/>
      <c r="L41" s="323"/>
      <c r="M41" s="324"/>
      <c r="N41" s="322"/>
      <c r="O41" s="363"/>
    </row>
    <row r="42" spans="2:15" s="189" customFormat="1" ht="36.75" customHeight="1" x14ac:dyDescent="0.3">
      <c r="B42" s="317">
        <f>'Product Details'!B41</f>
        <v>0</v>
      </c>
      <c r="C42" s="318">
        <f>'Product Details'!C41</f>
        <v>0</v>
      </c>
      <c r="D42" s="318">
        <f>'Product Details'!E41</f>
        <v>0</v>
      </c>
      <c r="E42" s="360"/>
      <c r="F42" s="361"/>
      <c r="G42" s="362"/>
      <c r="H42" s="362"/>
      <c r="I42" s="363"/>
      <c r="J42" s="364"/>
      <c r="K42" s="316"/>
      <c r="L42" s="323"/>
      <c r="M42" s="324"/>
      <c r="N42" s="322"/>
      <c r="O42" s="363"/>
    </row>
    <row r="43" spans="2:15" s="189" customFormat="1" ht="36.75" customHeight="1" x14ac:dyDescent="0.3">
      <c r="B43" s="317">
        <f>'Product Details'!B42</f>
        <v>0</v>
      </c>
      <c r="C43" s="318">
        <f>'Product Details'!C42</f>
        <v>0</v>
      </c>
      <c r="D43" s="318">
        <f>'Product Details'!E42</f>
        <v>0</v>
      </c>
      <c r="E43" s="360"/>
      <c r="F43" s="361"/>
      <c r="G43" s="362"/>
      <c r="H43" s="362"/>
      <c r="I43" s="363"/>
      <c r="J43" s="364"/>
      <c r="K43" s="316"/>
      <c r="L43" s="323"/>
      <c r="M43" s="324"/>
      <c r="N43" s="322"/>
      <c r="O43" s="363"/>
    </row>
    <row r="44" spans="2:15" s="189" customFormat="1" ht="36.75" customHeight="1" x14ac:dyDescent="0.3">
      <c r="B44" s="317">
        <f>'Product Details'!B43</f>
        <v>0</v>
      </c>
      <c r="C44" s="318">
        <f>'Product Details'!C43</f>
        <v>0</v>
      </c>
      <c r="D44" s="318">
        <f>'Product Details'!E43</f>
        <v>0</v>
      </c>
      <c r="E44" s="360"/>
      <c r="F44" s="361"/>
      <c r="G44" s="362"/>
      <c r="H44" s="362"/>
      <c r="I44" s="363"/>
      <c r="J44" s="364"/>
      <c r="K44" s="316"/>
      <c r="L44" s="323"/>
      <c r="M44" s="324"/>
      <c r="N44" s="322"/>
      <c r="O44" s="363"/>
    </row>
    <row r="45" spans="2:15" s="189" customFormat="1" ht="36.75" customHeight="1" x14ac:dyDescent="0.3">
      <c r="B45" s="317">
        <f>'Product Details'!B44</f>
        <v>0</v>
      </c>
      <c r="C45" s="318">
        <f>'Product Details'!C44</f>
        <v>0</v>
      </c>
      <c r="D45" s="318">
        <f>'Product Details'!E44</f>
        <v>0</v>
      </c>
      <c r="E45" s="360"/>
      <c r="F45" s="361"/>
      <c r="G45" s="362"/>
      <c r="H45" s="362"/>
      <c r="I45" s="363"/>
      <c r="J45" s="364"/>
      <c r="K45" s="316"/>
      <c r="L45" s="323"/>
      <c r="M45" s="324"/>
      <c r="N45" s="322"/>
      <c r="O45" s="363"/>
    </row>
    <row r="46" spans="2:15" s="189" customFormat="1" ht="36.75" customHeight="1" x14ac:dyDescent="0.3">
      <c r="B46" s="317">
        <f>'Product Details'!B45</f>
        <v>0</v>
      </c>
      <c r="C46" s="318">
        <f>'Product Details'!C45</f>
        <v>0</v>
      </c>
      <c r="D46" s="318">
        <f>'Product Details'!E45</f>
        <v>0</v>
      </c>
      <c r="E46" s="360"/>
      <c r="F46" s="361"/>
      <c r="G46" s="362"/>
      <c r="H46" s="362"/>
      <c r="I46" s="363"/>
      <c r="J46" s="364"/>
      <c r="K46" s="316"/>
      <c r="L46" s="323"/>
      <c r="M46" s="324"/>
      <c r="N46" s="322"/>
      <c r="O46" s="363"/>
    </row>
    <row r="47" spans="2:15" s="189" customFormat="1" ht="36.75" customHeight="1" x14ac:dyDescent="0.3">
      <c r="B47" s="317">
        <f>'Product Details'!B46</f>
        <v>0</v>
      </c>
      <c r="C47" s="318">
        <f>'Product Details'!C46</f>
        <v>0</v>
      </c>
      <c r="D47" s="318">
        <f>'Product Details'!E46</f>
        <v>0</v>
      </c>
      <c r="E47" s="360"/>
      <c r="F47" s="361"/>
      <c r="G47" s="362"/>
      <c r="H47" s="362"/>
      <c r="I47" s="363"/>
      <c r="J47" s="364"/>
      <c r="K47" s="316"/>
      <c r="L47" s="323"/>
      <c r="M47" s="324"/>
      <c r="N47" s="322"/>
      <c r="O47" s="363"/>
    </row>
    <row r="48" spans="2:15" s="189" customFormat="1" ht="36.75" customHeight="1" x14ac:dyDescent="0.3">
      <c r="B48" s="317">
        <f>'Product Details'!B47</f>
        <v>0</v>
      </c>
      <c r="C48" s="318">
        <f>'Product Details'!C47</f>
        <v>0</v>
      </c>
      <c r="D48" s="318">
        <f>'Product Details'!E47</f>
        <v>0</v>
      </c>
      <c r="E48" s="360"/>
      <c r="F48" s="361"/>
      <c r="G48" s="362"/>
      <c r="H48" s="362"/>
      <c r="I48" s="363"/>
      <c r="J48" s="364"/>
      <c r="K48" s="316"/>
      <c r="L48" s="323"/>
      <c r="M48" s="324"/>
      <c r="N48" s="322"/>
      <c r="O48" s="363"/>
    </row>
    <row r="49" spans="2:15" s="189" customFormat="1" ht="36.75" customHeight="1" x14ac:dyDescent="0.3">
      <c r="B49" s="317">
        <f>'Product Details'!B48</f>
        <v>0</v>
      </c>
      <c r="C49" s="318">
        <f>'Product Details'!C48</f>
        <v>0</v>
      </c>
      <c r="D49" s="318">
        <f>'Product Details'!E48</f>
        <v>0</v>
      </c>
      <c r="E49" s="360"/>
      <c r="F49" s="361"/>
      <c r="G49" s="362"/>
      <c r="H49" s="362"/>
      <c r="I49" s="363"/>
      <c r="J49" s="364"/>
      <c r="K49" s="316"/>
      <c r="L49" s="323"/>
      <c r="M49" s="324"/>
      <c r="N49" s="322"/>
      <c r="O49" s="363"/>
    </row>
    <row r="50" spans="2:15" s="189" customFormat="1" ht="36.75" customHeight="1" x14ac:dyDescent="0.3">
      <c r="B50" s="317">
        <f>'Product Details'!B49</f>
        <v>0</v>
      </c>
      <c r="C50" s="318">
        <f>'Product Details'!C49</f>
        <v>0</v>
      </c>
      <c r="D50" s="318">
        <f>'Product Details'!E49</f>
        <v>0</v>
      </c>
      <c r="E50" s="360"/>
      <c r="F50" s="361"/>
      <c r="G50" s="362"/>
      <c r="H50" s="362"/>
      <c r="I50" s="363"/>
      <c r="J50" s="364"/>
      <c r="K50" s="316"/>
      <c r="L50" s="323"/>
      <c r="M50" s="324"/>
      <c r="N50" s="322"/>
      <c r="O50" s="363"/>
    </row>
    <row r="51" spans="2:15" s="189" customFormat="1" ht="36.75" customHeight="1" x14ac:dyDescent="0.3">
      <c r="B51" s="317">
        <f>'Product Details'!B50</f>
        <v>0</v>
      </c>
      <c r="C51" s="318">
        <f>'Product Details'!C50</f>
        <v>0</v>
      </c>
      <c r="D51" s="318">
        <f>'Product Details'!E50</f>
        <v>0</v>
      </c>
      <c r="E51" s="360"/>
      <c r="F51" s="361"/>
      <c r="G51" s="362"/>
      <c r="H51" s="362"/>
      <c r="I51" s="363"/>
      <c r="J51" s="364"/>
      <c r="K51" s="316"/>
      <c r="L51" s="323"/>
      <c r="M51" s="324"/>
      <c r="N51" s="322"/>
      <c r="O51" s="363"/>
    </row>
    <row r="52" spans="2:15" s="189" customFormat="1" ht="36.75" customHeight="1" x14ac:dyDescent="0.3">
      <c r="B52" s="317">
        <f>'Product Details'!B51</f>
        <v>0</v>
      </c>
      <c r="C52" s="318">
        <f>'Product Details'!C51</f>
        <v>0</v>
      </c>
      <c r="D52" s="318">
        <f>'Product Details'!E51</f>
        <v>0</v>
      </c>
      <c r="E52" s="360"/>
      <c r="F52" s="361"/>
      <c r="G52" s="362"/>
      <c r="H52" s="362"/>
      <c r="I52" s="363"/>
      <c r="J52" s="364"/>
      <c r="K52" s="316"/>
      <c r="L52" s="323"/>
      <c r="M52" s="324"/>
      <c r="N52" s="322"/>
      <c r="O52" s="363"/>
    </row>
    <row r="53" spans="2:15" s="189" customFormat="1" ht="36.75" customHeight="1" x14ac:dyDescent="0.3">
      <c r="B53" s="317">
        <f>'Product Details'!B52</f>
        <v>0</v>
      </c>
      <c r="C53" s="318">
        <f>'Product Details'!C52</f>
        <v>0</v>
      </c>
      <c r="D53" s="318">
        <f>'Product Details'!E52</f>
        <v>0</v>
      </c>
      <c r="E53" s="360"/>
      <c r="F53" s="361"/>
      <c r="G53" s="362"/>
      <c r="H53" s="362"/>
      <c r="I53" s="363"/>
      <c r="J53" s="364"/>
      <c r="K53" s="316"/>
      <c r="L53" s="323"/>
      <c r="M53" s="324"/>
      <c r="N53" s="322"/>
      <c r="O53" s="363"/>
    </row>
    <row r="54" spans="2:15" s="189" customFormat="1" ht="36.75" customHeight="1" x14ac:dyDescent="0.3">
      <c r="B54" s="317">
        <f>'Product Details'!B53</f>
        <v>0</v>
      </c>
      <c r="C54" s="318">
        <f>'Product Details'!C53</f>
        <v>0</v>
      </c>
      <c r="D54" s="318">
        <f>'Product Details'!E53</f>
        <v>0</v>
      </c>
      <c r="E54" s="360"/>
      <c r="F54" s="361"/>
      <c r="G54" s="362"/>
      <c r="H54" s="362"/>
      <c r="I54" s="363"/>
      <c r="J54" s="364"/>
      <c r="K54" s="316"/>
      <c r="L54" s="323"/>
      <c r="M54" s="324"/>
      <c r="N54" s="322"/>
      <c r="O54" s="363"/>
    </row>
    <row r="55" spans="2:15" s="189" customFormat="1" ht="36.75" customHeight="1" x14ac:dyDescent="0.3">
      <c r="B55" s="317">
        <f>'Product Details'!B54</f>
        <v>0</v>
      </c>
      <c r="C55" s="318">
        <f>'Product Details'!C54</f>
        <v>0</v>
      </c>
      <c r="D55" s="318">
        <f>'Product Details'!E54</f>
        <v>0</v>
      </c>
      <c r="E55" s="360"/>
      <c r="F55" s="361"/>
      <c r="G55" s="362"/>
      <c r="H55" s="362"/>
      <c r="I55" s="363"/>
      <c r="J55" s="364"/>
      <c r="K55" s="316"/>
      <c r="L55" s="323"/>
      <c r="M55" s="324"/>
      <c r="N55" s="322"/>
      <c r="O55" s="363"/>
    </row>
    <row r="56" spans="2:15" s="189" customFormat="1" ht="36.75" customHeight="1" x14ac:dyDescent="0.3">
      <c r="B56" s="317">
        <f>'Product Details'!B55</f>
        <v>0</v>
      </c>
      <c r="C56" s="318">
        <f>'Product Details'!C55</f>
        <v>0</v>
      </c>
      <c r="D56" s="318">
        <f>'Product Details'!E55</f>
        <v>0</v>
      </c>
      <c r="E56" s="365"/>
      <c r="F56" s="361"/>
      <c r="G56" s="362"/>
      <c r="H56" s="362"/>
      <c r="I56" s="363"/>
      <c r="J56" s="364"/>
      <c r="K56" s="316"/>
      <c r="L56" s="323"/>
      <c r="M56" s="324"/>
      <c r="N56" s="366"/>
      <c r="O56" s="367"/>
    </row>
    <row r="57" spans="2:15" s="189" customFormat="1" ht="36.75" customHeight="1" x14ac:dyDescent="0.3">
      <c r="B57" s="317">
        <f>'Product Details'!B56</f>
        <v>0</v>
      </c>
      <c r="C57" s="318">
        <f>'Product Details'!C56</f>
        <v>0</v>
      </c>
      <c r="D57" s="318">
        <f>'Product Details'!E56</f>
        <v>0</v>
      </c>
      <c r="E57" s="360"/>
      <c r="F57" s="361"/>
      <c r="G57" s="362"/>
      <c r="H57" s="362"/>
      <c r="I57" s="363"/>
      <c r="J57" s="364"/>
      <c r="K57" s="316"/>
      <c r="L57" s="323"/>
      <c r="M57" s="324"/>
      <c r="N57" s="322"/>
      <c r="O57" s="363"/>
    </row>
    <row r="58" spans="2:15" s="189" customFormat="1" ht="36.75" customHeight="1" x14ac:dyDescent="0.3">
      <c r="B58" s="317">
        <f>'Product Details'!B57</f>
        <v>0</v>
      </c>
      <c r="C58" s="318">
        <f>'Product Details'!C57</f>
        <v>0</v>
      </c>
      <c r="D58" s="318">
        <f>'Product Details'!E57</f>
        <v>0</v>
      </c>
      <c r="E58" s="360"/>
      <c r="F58" s="361"/>
      <c r="G58" s="362"/>
      <c r="H58" s="362"/>
      <c r="I58" s="363"/>
      <c r="J58" s="364"/>
      <c r="K58" s="316"/>
      <c r="L58" s="323"/>
      <c r="M58" s="324"/>
      <c r="N58" s="322"/>
      <c r="O58" s="363"/>
    </row>
    <row r="59" spans="2:15" s="189" customFormat="1" ht="36.75" customHeight="1" x14ac:dyDescent="0.3">
      <c r="B59" s="317">
        <f>'Product Details'!B58</f>
        <v>0</v>
      </c>
      <c r="C59" s="318">
        <f>'Product Details'!C58</f>
        <v>0</v>
      </c>
      <c r="D59" s="318">
        <f>'Product Details'!E58</f>
        <v>0</v>
      </c>
      <c r="E59" s="360"/>
      <c r="F59" s="361"/>
      <c r="G59" s="362"/>
      <c r="H59" s="362"/>
      <c r="I59" s="363"/>
      <c r="J59" s="364"/>
      <c r="K59" s="316"/>
      <c r="L59" s="323"/>
      <c r="M59" s="324"/>
      <c r="N59" s="322"/>
      <c r="O59" s="363"/>
    </row>
    <row r="60" spans="2:15" s="189" customFormat="1" ht="36.75" customHeight="1" x14ac:dyDescent="0.3">
      <c r="B60" s="317">
        <f>'Product Details'!B59</f>
        <v>0</v>
      </c>
      <c r="C60" s="318">
        <f>'Product Details'!C59</f>
        <v>0</v>
      </c>
      <c r="D60" s="318">
        <f>'Product Details'!E59</f>
        <v>0</v>
      </c>
      <c r="E60" s="360"/>
      <c r="F60" s="361"/>
      <c r="G60" s="362"/>
      <c r="H60" s="362"/>
      <c r="I60" s="363"/>
      <c r="J60" s="364"/>
      <c r="K60" s="316"/>
      <c r="L60" s="323"/>
      <c r="M60" s="324"/>
      <c r="N60" s="322"/>
      <c r="O60" s="363"/>
    </row>
    <row r="61" spans="2:15" s="189" customFormat="1" ht="36.75" customHeight="1" thickBot="1" x14ac:dyDescent="0.35">
      <c r="B61" s="338">
        <f>'Product Details'!B60</f>
        <v>0</v>
      </c>
      <c r="C61" s="339">
        <f>'Product Details'!C60</f>
        <v>0</v>
      </c>
      <c r="D61" s="339">
        <f>'Product Details'!E60</f>
        <v>0</v>
      </c>
      <c r="E61" s="368"/>
      <c r="F61" s="369"/>
      <c r="G61" s="370"/>
      <c r="H61" s="370"/>
      <c r="I61" s="371"/>
      <c r="J61" s="372"/>
      <c r="K61" s="373"/>
      <c r="L61" s="374"/>
      <c r="M61" s="375"/>
      <c r="N61" s="343"/>
      <c r="O61" s="371"/>
    </row>
  </sheetData>
  <sheetProtection algorithmName="SHA-512" hashValue="halzbk9iFquxGFl0AwyFvz2laEZcoUc6mDYRhLTUOhNr0J4zDbhQ5gImpcJqSCZq/MXerpV603CmSt2m8GpUjg==" saltValue="aE9PuPgz2GXYJmbbXRJDUQ==" spinCount="100000" sheet="1" formatCells="0" formatColumns="0" formatRows="0" insertRows="0" autoFilter="0"/>
  <mergeCells count="5">
    <mergeCell ref="B8:I8"/>
    <mergeCell ref="J8:M8"/>
    <mergeCell ref="N8:O9"/>
    <mergeCell ref="B9:D9"/>
    <mergeCell ref="L9:M9"/>
  </mergeCells>
  <conditionalFormatting sqref="N12:N61">
    <cfRule type="containsText" dxfId="7" priority="3" operator="containsText" text="b. 1 cm (.39 inches) or more in width/diameter">
      <formula>NOT(ISERROR(SEARCH("b. 1 cm (.39 inches) or more in width/diameter",N12)))</formula>
    </cfRule>
    <cfRule type="expression" dxfId="6" priority="5">
      <formula>J12="c. MDF, particleboard, or similar composite wood"</formula>
    </cfRule>
    <cfRule type="expression" dxfId="5" priority="6">
      <formula>J12="b. Reclaimed, reused, or driftwood"</formula>
    </cfRule>
  </conditionalFormatting>
  <conditionalFormatting sqref="O12:O61">
    <cfRule type="expression" dxfId="4" priority="2">
      <formula>IF(AND($N12="b. 1 cm (.39 inches) or more in width/diameter"),$O12="")</formula>
    </cfRule>
    <cfRule type="cellIs" dxfId="3" priority="4" operator="equal">
      <formula>"b. no"</formula>
    </cfRule>
    <cfRule type="expression" dxfId="2" priority="7">
      <formula>J12="b. Reclaimed, reused, or driftwood"</formula>
    </cfRule>
    <cfRule type="expression" dxfId="1" priority="8">
      <formula>J12="c. MDF, particleboard, or similar composite wood"</formula>
    </cfRule>
    <cfRule type="expression" dxfId="0" priority="9">
      <formula>N12="a. less than 1 cm (.38 inches) in width/diameter"</formula>
    </cfRule>
  </conditionalFormatting>
  <dataValidations count="4">
    <dataValidation type="list" allowBlank="1" showInputMessage="1" showErrorMessage="1" sqref="J12:J61" xr:uid="{D9357621-2359-47EC-9503-A2FF988E3DC2}">
      <formula1>$T$3:$T$8</formula1>
    </dataValidation>
    <dataValidation type="list" allowBlank="1" showInputMessage="1" showErrorMessage="1" sqref="K12:K61" xr:uid="{1A42E469-90CF-4F6B-8BFB-3A77A248E679}">
      <formula1>$V$3:$V$5</formula1>
    </dataValidation>
    <dataValidation type="list" allowBlank="1" showInputMessage="1" showErrorMessage="1" sqref="M12:M61" xr:uid="{285A4B18-A701-43F2-8AFF-C4304506C917}">
      <formula1>USDAUoM</formula1>
    </dataValidation>
    <dataValidation type="list" allowBlank="1" showInputMessage="1" showErrorMessage="1" sqref="N12:N61" xr:uid="{7B6D9ECD-F664-4056-B6DB-25288A23D5A4}">
      <formula1>USDADiameter</formula1>
    </dataValidation>
  </dataValidations>
  <printOptions horizontalCentered="1"/>
  <pageMargins left="0.25" right="0.25" top="0.75" bottom="0.75" header="0.3" footer="0.3"/>
  <pageSetup scale="30" fitToHeight="0"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1" id="{3B292E74-8278-422C-9394-18944BEB90B0}">
            <xm:f>'Product Details'!$AY11="Yes - Complete Wood/Plant Materials tab"</xm:f>
            <x14:dxf>
              <fill>
                <patternFill>
                  <bgColor rgb="FFFFFF00"/>
                </patternFill>
              </fill>
            </x14:dxf>
          </x14:cfRule>
          <xm:sqref>B12:D61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AA35A-66D0-4645-BD6B-BA173C3E1D74}">
  <sheetPr>
    <pageSetUpPr fitToPage="1"/>
  </sheetPr>
  <dimension ref="B1:N53"/>
  <sheetViews>
    <sheetView showGridLines="0" workbookViewId="0">
      <selection activeCell="C8" sqref="C8:H8"/>
    </sheetView>
  </sheetViews>
  <sheetFormatPr defaultColWidth="9.109375" defaultRowHeight="14.4" x14ac:dyDescent="0.3"/>
  <cols>
    <col min="1" max="3" width="9.109375" style="211"/>
    <col min="4" max="4" width="8.44140625" style="211" customWidth="1"/>
    <col min="5" max="5" width="1.44140625" style="211" customWidth="1"/>
    <col min="6" max="6" width="7.109375" style="211" customWidth="1"/>
    <col min="7" max="8" width="9.109375" style="211"/>
    <col min="9" max="9" width="14.77734375" style="211" customWidth="1"/>
    <col min="10" max="10" width="6.5546875" style="211" customWidth="1"/>
    <col min="11" max="11" width="9.109375" style="211"/>
    <col min="12" max="12" width="7.77734375" style="211" customWidth="1"/>
    <col min="13" max="13" width="12.88671875" style="211" customWidth="1"/>
    <col min="14" max="16384" width="9.109375" style="211"/>
  </cols>
  <sheetData>
    <row r="1" spans="2:14" ht="15" thickBot="1" x14ac:dyDescent="0.35"/>
    <row r="2" spans="2:14" x14ac:dyDescent="0.3">
      <c r="B2" s="410"/>
      <c r="C2" s="411"/>
      <c r="D2" s="411"/>
      <c r="E2" s="411"/>
      <c r="F2" s="411"/>
      <c r="G2" s="411"/>
      <c r="H2" s="411"/>
      <c r="I2" s="411"/>
      <c r="J2" s="411"/>
      <c r="K2" s="411"/>
      <c r="L2" s="411"/>
      <c r="M2" s="411"/>
      <c r="N2" s="412"/>
    </row>
    <row r="3" spans="2:14" x14ac:dyDescent="0.3">
      <c r="B3" s="413"/>
      <c r="C3" s="547" t="s">
        <v>135</v>
      </c>
      <c r="D3" s="547"/>
      <c r="E3" s="547"/>
      <c r="F3" s="547"/>
      <c r="G3" s="547"/>
      <c r="H3" s="547"/>
      <c r="I3" s="547"/>
      <c r="J3" s="547"/>
      <c r="K3" s="547"/>
      <c r="L3" s="547"/>
      <c r="M3" s="547"/>
      <c r="N3" s="415"/>
    </row>
    <row r="4" spans="2:14" x14ac:dyDescent="0.3">
      <c r="B4" s="413"/>
      <c r="C4" s="547"/>
      <c r="D4" s="547"/>
      <c r="E4" s="547"/>
      <c r="F4" s="547"/>
      <c r="G4" s="547"/>
      <c r="H4" s="547"/>
      <c r="I4" s="547"/>
      <c r="J4" s="547"/>
      <c r="K4" s="547"/>
      <c r="L4" s="547"/>
      <c r="M4" s="547"/>
      <c r="N4" s="415"/>
    </row>
    <row r="5" spans="2:14" x14ac:dyDescent="0.3">
      <c r="B5" s="413"/>
      <c r="C5" s="547"/>
      <c r="D5" s="547"/>
      <c r="E5" s="547"/>
      <c r="F5" s="547"/>
      <c r="G5" s="547"/>
      <c r="H5" s="547"/>
      <c r="I5" s="547"/>
      <c r="J5" s="547"/>
      <c r="K5" s="547"/>
      <c r="L5" s="547"/>
      <c r="M5" s="547"/>
      <c r="N5" s="415"/>
    </row>
    <row r="6" spans="2:14" ht="21" customHeight="1" x14ac:dyDescent="0.3">
      <c r="B6" s="413"/>
      <c r="C6" s="547"/>
      <c r="D6" s="547"/>
      <c r="E6" s="547"/>
      <c r="F6" s="547"/>
      <c r="G6" s="547"/>
      <c r="H6" s="547"/>
      <c r="I6" s="547"/>
      <c r="J6" s="547"/>
      <c r="K6" s="547"/>
      <c r="L6" s="547"/>
      <c r="M6" s="547"/>
      <c r="N6" s="415"/>
    </row>
    <row r="7" spans="2:14" ht="28.8" x14ac:dyDescent="0.3">
      <c r="B7" s="413"/>
      <c r="C7" s="414"/>
      <c r="D7" s="414"/>
      <c r="E7" s="414"/>
      <c r="F7" s="414"/>
      <c r="G7" s="414"/>
      <c r="H7" s="414"/>
      <c r="I7" s="414"/>
      <c r="J7" s="414"/>
      <c r="K7" s="414"/>
      <c r="L7" s="414"/>
      <c r="M7" s="414"/>
      <c r="N7" s="415"/>
    </row>
    <row r="8" spans="2:14" ht="15.6" x14ac:dyDescent="0.3">
      <c r="B8" s="413"/>
      <c r="C8" s="548" t="s">
        <v>165</v>
      </c>
      <c r="D8" s="548"/>
      <c r="E8" s="548"/>
      <c r="F8" s="548"/>
      <c r="G8" s="548"/>
      <c r="H8" s="548"/>
      <c r="I8" s="212" t="s">
        <v>166</v>
      </c>
      <c r="N8" s="415"/>
    </row>
    <row r="9" spans="2:14" x14ac:dyDescent="0.3">
      <c r="B9" s="413"/>
      <c r="C9" s="549" t="s">
        <v>136</v>
      </c>
      <c r="D9" s="549"/>
      <c r="E9" s="549"/>
      <c r="F9" s="549"/>
      <c r="G9" s="549"/>
      <c r="H9" s="549"/>
      <c r="I9" s="549"/>
      <c r="J9" s="549"/>
      <c r="K9" s="549"/>
      <c r="L9" s="549"/>
      <c r="M9" s="549"/>
      <c r="N9" s="415"/>
    </row>
    <row r="10" spans="2:14" x14ac:dyDescent="0.3">
      <c r="B10" s="413"/>
      <c r="C10" s="549"/>
      <c r="D10" s="549"/>
      <c r="E10" s="549"/>
      <c r="F10" s="549"/>
      <c r="G10" s="549"/>
      <c r="H10" s="549"/>
      <c r="I10" s="549"/>
      <c r="J10" s="549"/>
      <c r="K10" s="549"/>
      <c r="L10" s="549"/>
      <c r="M10" s="549"/>
      <c r="N10" s="415"/>
    </row>
    <row r="11" spans="2:14" x14ac:dyDescent="0.3">
      <c r="B11" s="413"/>
      <c r="C11" s="549"/>
      <c r="D11" s="549"/>
      <c r="E11" s="549"/>
      <c r="F11" s="549"/>
      <c r="G11" s="549"/>
      <c r="H11" s="549"/>
      <c r="I11" s="549"/>
      <c r="J11" s="549"/>
      <c r="K11" s="549"/>
      <c r="L11" s="549"/>
      <c r="M11" s="549"/>
      <c r="N11" s="415"/>
    </row>
    <row r="12" spans="2:14" x14ac:dyDescent="0.3">
      <c r="B12" s="413"/>
      <c r="C12" s="549"/>
      <c r="D12" s="549"/>
      <c r="E12" s="549"/>
      <c r="F12" s="549"/>
      <c r="G12" s="549"/>
      <c r="H12" s="549"/>
      <c r="I12" s="549"/>
      <c r="J12" s="549"/>
      <c r="K12" s="549"/>
      <c r="L12" s="549"/>
      <c r="M12" s="549"/>
      <c r="N12" s="415"/>
    </row>
    <row r="13" spans="2:14" x14ac:dyDescent="0.3">
      <c r="B13" s="413"/>
      <c r="C13" s="213"/>
      <c r="D13" s="213"/>
      <c r="E13" s="213"/>
      <c r="F13" s="213"/>
      <c r="G13" s="213"/>
      <c r="H13" s="213"/>
      <c r="I13" s="213"/>
      <c r="J13" s="213"/>
      <c r="K13" s="213"/>
      <c r="L13" s="213"/>
      <c r="M13" s="213"/>
      <c r="N13" s="415"/>
    </row>
    <row r="14" spans="2:14" x14ac:dyDescent="0.3">
      <c r="B14" s="413"/>
      <c r="C14" s="550" t="s">
        <v>137</v>
      </c>
      <c r="D14" s="551"/>
      <c r="E14" s="552"/>
      <c r="F14" s="553" t="s">
        <v>138</v>
      </c>
      <c r="G14" s="554"/>
      <c r="H14" s="554"/>
      <c r="I14" s="554"/>
      <c r="J14" s="554"/>
      <c r="K14" s="554"/>
      <c r="L14" s="554"/>
      <c r="M14" s="555"/>
      <c r="N14" s="415"/>
    </row>
    <row r="15" spans="2:14" x14ac:dyDescent="0.3">
      <c r="B15" s="413"/>
      <c r="C15" s="544"/>
      <c r="D15" s="545"/>
      <c r="E15" s="546"/>
      <c r="F15" s="545"/>
      <c r="G15" s="545"/>
      <c r="H15" s="545"/>
      <c r="I15" s="545"/>
      <c r="J15" s="545"/>
      <c r="K15" s="545"/>
      <c r="L15" s="545"/>
      <c r="M15" s="546"/>
      <c r="N15" s="415"/>
    </row>
    <row r="16" spans="2:14" x14ac:dyDescent="0.3">
      <c r="B16" s="413"/>
      <c r="C16" s="535"/>
      <c r="D16" s="536"/>
      <c r="E16" s="537"/>
      <c r="F16" s="536"/>
      <c r="G16" s="536"/>
      <c r="H16" s="536"/>
      <c r="I16" s="536"/>
      <c r="J16" s="536"/>
      <c r="K16" s="536"/>
      <c r="L16" s="536"/>
      <c r="M16" s="537"/>
      <c r="N16" s="415"/>
    </row>
    <row r="17" spans="2:14" x14ac:dyDescent="0.3">
      <c r="B17" s="413"/>
      <c r="C17" s="535"/>
      <c r="D17" s="536"/>
      <c r="E17" s="537"/>
      <c r="F17" s="536"/>
      <c r="G17" s="536"/>
      <c r="H17" s="536"/>
      <c r="I17" s="536"/>
      <c r="J17" s="536"/>
      <c r="K17" s="536"/>
      <c r="L17" s="536"/>
      <c r="M17" s="537"/>
      <c r="N17" s="415"/>
    </row>
    <row r="18" spans="2:14" x14ac:dyDescent="0.3">
      <c r="B18" s="413"/>
      <c r="C18" s="535"/>
      <c r="D18" s="536"/>
      <c r="E18" s="537"/>
      <c r="F18" s="536"/>
      <c r="G18" s="536"/>
      <c r="H18" s="536"/>
      <c r="I18" s="536"/>
      <c r="J18" s="536"/>
      <c r="K18" s="536"/>
      <c r="L18" s="536"/>
      <c r="M18" s="537"/>
      <c r="N18" s="415"/>
    </row>
    <row r="19" spans="2:14" x14ac:dyDescent="0.3">
      <c r="B19" s="413"/>
      <c r="C19" s="535"/>
      <c r="D19" s="536"/>
      <c r="E19" s="537"/>
      <c r="F19" s="536"/>
      <c r="G19" s="536"/>
      <c r="H19" s="536"/>
      <c r="I19" s="536"/>
      <c r="J19" s="536"/>
      <c r="K19" s="536"/>
      <c r="L19" s="536"/>
      <c r="M19" s="537"/>
      <c r="N19" s="415"/>
    </row>
    <row r="20" spans="2:14" x14ac:dyDescent="0.3">
      <c r="B20" s="413"/>
      <c r="C20" s="535"/>
      <c r="D20" s="536"/>
      <c r="E20" s="537"/>
      <c r="F20" s="536"/>
      <c r="G20" s="536"/>
      <c r="H20" s="536"/>
      <c r="I20" s="536"/>
      <c r="J20" s="536"/>
      <c r="K20" s="536"/>
      <c r="L20" s="536"/>
      <c r="M20" s="537"/>
      <c r="N20" s="415"/>
    </row>
    <row r="21" spans="2:14" x14ac:dyDescent="0.3">
      <c r="B21" s="413"/>
      <c r="C21" s="535"/>
      <c r="D21" s="536"/>
      <c r="E21" s="537"/>
      <c r="F21" s="536"/>
      <c r="G21" s="536"/>
      <c r="H21" s="536"/>
      <c r="I21" s="536"/>
      <c r="J21" s="536"/>
      <c r="K21" s="536"/>
      <c r="L21" s="536"/>
      <c r="M21" s="537"/>
      <c r="N21" s="415"/>
    </row>
    <row r="22" spans="2:14" x14ac:dyDescent="0.3">
      <c r="B22" s="413"/>
      <c r="C22" s="214"/>
      <c r="D22" s="215"/>
      <c r="E22" s="216"/>
      <c r="F22" s="215"/>
      <c r="G22" s="215"/>
      <c r="H22" s="215"/>
      <c r="I22" s="215"/>
      <c r="J22" s="215"/>
      <c r="K22" s="215"/>
      <c r="L22" s="215"/>
      <c r="M22" s="216"/>
      <c r="N22" s="415"/>
    </row>
    <row r="23" spans="2:14" x14ac:dyDescent="0.3">
      <c r="B23" s="413"/>
      <c r="C23" s="214"/>
      <c r="D23" s="215"/>
      <c r="E23" s="216"/>
      <c r="F23" s="215"/>
      <c r="G23" s="215"/>
      <c r="H23" s="215"/>
      <c r="I23" s="215"/>
      <c r="J23" s="215"/>
      <c r="K23" s="215"/>
      <c r="L23" s="215"/>
      <c r="M23" s="216"/>
      <c r="N23" s="415"/>
    </row>
    <row r="24" spans="2:14" x14ac:dyDescent="0.3">
      <c r="B24" s="413"/>
      <c r="C24" s="214"/>
      <c r="D24" s="215"/>
      <c r="E24" s="216"/>
      <c r="F24" s="215"/>
      <c r="G24" s="215"/>
      <c r="H24" s="215"/>
      <c r="I24" s="215"/>
      <c r="J24" s="215"/>
      <c r="K24" s="215"/>
      <c r="L24" s="215"/>
      <c r="M24" s="216"/>
      <c r="N24" s="415"/>
    </row>
    <row r="25" spans="2:14" x14ac:dyDescent="0.3">
      <c r="B25" s="413"/>
      <c r="C25" s="214"/>
      <c r="D25" s="215"/>
      <c r="E25" s="216"/>
      <c r="F25" s="215"/>
      <c r="G25" s="215"/>
      <c r="H25" s="215"/>
      <c r="I25" s="215"/>
      <c r="J25" s="215"/>
      <c r="K25" s="215"/>
      <c r="L25" s="215"/>
      <c r="M25" s="216"/>
      <c r="N25" s="415"/>
    </row>
    <row r="26" spans="2:14" x14ac:dyDescent="0.3">
      <c r="B26" s="413"/>
      <c r="C26" s="535"/>
      <c r="D26" s="536"/>
      <c r="E26" s="537"/>
      <c r="F26" s="536"/>
      <c r="G26" s="536"/>
      <c r="H26" s="536"/>
      <c r="I26" s="536"/>
      <c r="J26" s="536"/>
      <c r="K26" s="536"/>
      <c r="L26" s="536"/>
      <c r="M26" s="537"/>
      <c r="N26" s="415"/>
    </row>
    <row r="27" spans="2:14" x14ac:dyDescent="0.3">
      <c r="B27" s="413"/>
      <c r="C27" s="535"/>
      <c r="D27" s="536"/>
      <c r="E27" s="537"/>
      <c r="F27" s="536"/>
      <c r="G27" s="536"/>
      <c r="H27" s="536"/>
      <c r="I27" s="536"/>
      <c r="J27" s="536"/>
      <c r="K27" s="536"/>
      <c r="L27" s="536"/>
      <c r="M27" s="537"/>
      <c r="N27" s="415"/>
    </row>
    <row r="28" spans="2:14" x14ac:dyDescent="0.3">
      <c r="B28" s="413"/>
      <c r="C28" s="535"/>
      <c r="D28" s="536"/>
      <c r="E28" s="537"/>
      <c r="F28" s="536"/>
      <c r="G28" s="536"/>
      <c r="H28" s="536"/>
      <c r="I28" s="536"/>
      <c r="J28" s="536"/>
      <c r="K28" s="536"/>
      <c r="L28" s="536"/>
      <c r="M28" s="537"/>
      <c r="N28" s="415"/>
    </row>
    <row r="29" spans="2:14" x14ac:dyDescent="0.3">
      <c r="B29" s="413"/>
      <c r="C29" s="535"/>
      <c r="D29" s="536"/>
      <c r="E29" s="537"/>
      <c r="F29" s="536"/>
      <c r="G29" s="536"/>
      <c r="H29" s="536"/>
      <c r="I29" s="536"/>
      <c r="J29" s="536"/>
      <c r="K29" s="536"/>
      <c r="L29" s="536"/>
      <c r="M29" s="537"/>
      <c r="N29" s="415"/>
    </row>
    <row r="30" spans="2:14" x14ac:dyDescent="0.3">
      <c r="B30" s="413"/>
      <c r="C30" s="535"/>
      <c r="D30" s="536"/>
      <c r="E30" s="537"/>
      <c r="F30" s="536"/>
      <c r="G30" s="536"/>
      <c r="H30" s="536"/>
      <c r="I30" s="536"/>
      <c r="J30" s="536"/>
      <c r="K30" s="536"/>
      <c r="L30" s="536"/>
      <c r="M30" s="537"/>
      <c r="N30" s="415"/>
    </row>
    <row r="31" spans="2:14" x14ac:dyDescent="0.3">
      <c r="B31" s="413"/>
      <c r="C31" s="535"/>
      <c r="D31" s="536"/>
      <c r="E31" s="537"/>
      <c r="F31" s="536"/>
      <c r="G31" s="536"/>
      <c r="H31" s="536"/>
      <c r="I31" s="536"/>
      <c r="J31" s="536"/>
      <c r="K31" s="536"/>
      <c r="L31" s="536"/>
      <c r="M31" s="537"/>
      <c r="N31" s="415"/>
    </row>
    <row r="32" spans="2:14" x14ac:dyDescent="0.3">
      <c r="B32" s="413"/>
      <c r="C32" s="535"/>
      <c r="D32" s="536"/>
      <c r="E32" s="537"/>
      <c r="F32" s="536"/>
      <c r="G32" s="536"/>
      <c r="H32" s="536"/>
      <c r="I32" s="536"/>
      <c r="J32" s="536"/>
      <c r="K32" s="536"/>
      <c r="L32" s="536"/>
      <c r="M32" s="537"/>
      <c r="N32" s="415"/>
    </row>
    <row r="33" spans="2:14" x14ac:dyDescent="0.3">
      <c r="B33" s="413"/>
      <c r="C33" s="535"/>
      <c r="D33" s="536"/>
      <c r="E33" s="537"/>
      <c r="F33" s="536"/>
      <c r="G33" s="536"/>
      <c r="H33" s="536"/>
      <c r="I33" s="536"/>
      <c r="J33" s="536"/>
      <c r="K33" s="536"/>
      <c r="L33" s="536"/>
      <c r="M33" s="537"/>
      <c r="N33" s="415"/>
    </row>
    <row r="34" spans="2:14" x14ac:dyDescent="0.3">
      <c r="B34" s="413"/>
      <c r="C34" s="538"/>
      <c r="D34" s="539"/>
      <c r="E34" s="540"/>
      <c r="F34" s="539"/>
      <c r="G34" s="539"/>
      <c r="H34" s="539"/>
      <c r="I34" s="539"/>
      <c r="J34" s="539"/>
      <c r="K34" s="539"/>
      <c r="L34" s="539"/>
      <c r="M34" s="540"/>
      <c r="N34" s="415"/>
    </row>
    <row r="35" spans="2:14" x14ac:dyDescent="0.3">
      <c r="B35" s="413"/>
      <c r="C35" s="217"/>
      <c r="D35" s="217"/>
      <c r="E35" s="217"/>
      <c r="F35" s="217"/>
      <c r="G35" s="217"/>
      <c r="H35" s="217"/>
      <c r="I35" s="217"/>
      <c r="J35" s="217"/>
      <c r="K35" s="217"/>
      <c r="L35" s="217"/>
      <c r="M35" s="217"/>
      <c r="N35" s="415"/>
    </row>
    <row r="36" spans="2:14" x14ac:dyDescent="0.3">
      <c r="B36" s="413"/>
      <c r="C36" s="213"/>
      <c r="D36" s="213"/>
      <c r="E36" s="213"/>
      <c r="F36" s="213"/>
      <c r="G36" s="213"/>
      <c r="H36" s="213"/>
      <c r="I36" s="213"/>
      <c r="J36" s="213"/>
      <c r="K36" s="213"/>
      <c r="L36" s="213"/>
      <c r="M36" s="213"/>
      <c r="N36" s="415"/>
    </row>
    <row r="37" spans="2:14" x14ac:dyDescent="0.3">
      <c r="B37" s="413"/>
      <c r="C37" s="213"/>
      <c r="D37" s="213"/>
      <c r="E37" s="213"/>
      <c r="F37" s="213"/>
      <c r="G37" s="213"/>
      <c r="H37" s="213"/>
      <c r="I37" s="213"/>
      <c r="J37" s="213"/>
      <c r="K37" s="213"/>
      <c r="L37" s="213"/>
      <c r="M37" s="213"/>
      <c r="N37" s="415"/>
    </row>
    <row r="38" spans="2:14" x14ac:dyDescent="0.3">
      <c r="B38" s="413"/>
      <c r="C38" s="541" t="s">
        <v>139</v>
      </c>
      <c r="D38" s="541"/>
      <c r="E38" s="541"/>
      <c r="F38" s="541"/>
      <c r="G38" s="213"/>
      <c r="H38" s="213"/>
      <c r="I38" s="213"/>
      <c r="J38" s="213"/>
      <c r="K38" s="213"/>
      <c r="L38" s="213"/>
      <c r="M38" s="213"/>
      <c r="N38" s="415"/>
    </row>
    <row r="39" spans="2:14" x14ac:dyDescent="0.3">
      <c r="B39" s="413"/>
      <c r="C39" s="541"/>
      <c r="D39" s="541"/>
      <c r="E39" s="541"/>
      <c r="F39" s="541"/>
      <c r="G39" s="534"/>
      <c r="H39" s="534"/>
      <c r="I39" s="534"/>
      <c r="J39" s="218" t="s">
        <v>140</v>
      </c>
      <c r="K39" s="534"/>
      <c r="L39" s="534"/>
      <c r="M39" s="534"/>
      <c r="N39" s="415"/>
    </row>
    <row r="40" spans="2:14" x14ac:dyDescent="0.3">
      <c r="B40" s="413"/>
      <c r="C40" s="213"/>
      <c r="D40" s="213"/>
      <c r="E40" s="213"/>
      <c r="F40" s="213"/>
      <c r="G40" s="213"/>
      <c r="H40" s="213"/>
      <c r="I40" s="213"/>
      <c r="J40" s="213"/>
      <c r="K40" s="213"/>
      <c r="L40" s="213"/>
      <c r="M40" s="213"/>
      <c r="N40" s="415"/>
    </row>
    <row r="41" spans="2:14" x14ac:dyDescent="0.3">
      <c r="B41" s="413"/>
      <c r="C41" s="542" t="s">
        <v>141</v>
      </c>
      <c r="D41" s="543"/>
      <c r="E41" s="543"/>
      <c r="F41" s="534"/>
      <c r="G41" s="534"/>
      <c r="H41" s="534"/>
      <c r="I41" s="534"/>
      <c r="J41" s="213"/>
      <c r="K41" s="213"/>
      <c r="L41" s="213"/>
      <c r="M41" s="213"/>
      <c r="N41" s="415"/>
    </row>
    <row r="42" spans="2:14" x14ac:dyDescent="0.3">
      <c r="B42" s="413"/>
      <c r="C42" s="213"/>
      <c r="D42" s="213"/>
      <c r="E42" s="213"/>
      <c r="F42" s="213"/>
      <c r="G42" s="213"/>
      <c r="H42" s="213"/>
      <c r="I42" s="213"/>
      <c r="J42" s="213"/>
      <c r="K42" s="213"/>
      <c r="L42" s="213"/>
      <c r="M42" s="213"/>
      <c r="N42" s="415"/>
    </row>
    <row r="43" spans="2:14" x14ac:dyDescent="0.3">
      <c r="B43" s="413"/>
      <c r="C43" s="213" t="s">
        <v>142</v>
      </c>
      <c r="D43" s="534"/>
      <c r="E43" s="534"/>
      <c r="F43" s="534"/>
      <c r="G43" s="534"/>
      <c r="H43" s="534"/>
      <c r="I43" s="534"/>
      <c r="J43" s="213"/>
      <c r="K43" s="213"/>
      <c r="L43" s="213"/>
      <c r="M43" s="213"/>
      <c r="N43" s="415"/>
    </row>
    <row r="44" spans="2:14" ht="15" thickBot="1" x14ac:dyDescent="0.35">
      <c r="B44" s="416"/>
      <c r="C44" s="417"/>
      <c r="D44" s="417"/>
      <c r="E44" s="417"/>
      <c r="F44" s="417"/>
      <c r="G44" s="417"/>
      <c r="H44" s="417"/>
      <c r="I44" s="417"/>
      <c r="J44" s="417"/>
      <c r="K44" s="417"/>
      <c r="L44" s="417"/>
      <c r="M44" s="417"/>
      <c r="N44" s="418"/>
    </row>
    <row r="45" spans="2:14" x14ac:dyDescent="0.3">
      <c r="C45" s="213"/>
      <c r="D45" s="213"/>
      <c r="E45" s="213"/>
      <c r="F45" s="213"/>
      <c r="G45" s="213"/>
      <c r="H45" s="213"/>
      <c r="I45" s="213"/>
      <c r="J45" s="213"/>
      <c r="K45" s="213"/>
      <c r="L45" s="213"/>
      <c r="M45" s="213"/>
    </row>
    <row r="46" spans="2:14" x14ac:dyDescent="0.3">
      <c r="C46" s="219"/>
      <c r="D46" s="219"/>
      <c r="E46" s="219"/>
      <c r="F46" s="219"/>
      <c r="G46" s="219"/>
      <c r="H46" s="219"/>
      <c r="I46" s="219"/>
      <c r="J46" s="219"/>
      <c r="K46" s="219"/>
      <c r="L46" s="219"/>
      <c r="M46" s="219"/>
    </row>
    <row r="47" spans="2:14" x14ac:dyDescent="0.3">
      <c r="C47" s="220"/>
      <c r="D47" s="220"/>
      <c r="E47" s="220"/>
      <c r="F47" s="220"/>
      <c r="G47" s="220"/>
      <c r="H47" s="220"/>
      <c r="I47" s="220"/>
      <c r="J47" s="220"/>
      <c r="K47" s="220"/>
      <c r="L47" s="220"/>
      <c r="M47" s="220"/>
    </row>
    <row r="48" spans="2:14" x14ac:dyDescent="0.3">
      <c r="C48" s="217"/>
      <c r="D48" s="217"/>
      <c r="E48" s="217"/>
      <c r="F48" s="217"/>
      <c r="G48" s="217"/>
      <c r="H48" s="217"/>
      <c r="I48" s="217"/>
      <c r="J48" s="217"/>
      <c r="K48" s="217"/>
      <c r="L48" s="217"/>
      <c r="M48" s="217"/>
    </row>
    <row r="49" spans="3:13" x14ac:dyDescent="0.3">
      <c r="C49" s="217"/>
      <c r="D49" s="217"/>
      <c r="E49" s="217"/>
      <c r="F49" s="217"/>
      <c r="G49" s="217"/>
      <c r="H49" s="217"/>
      <c r="I49" s="217"/>
      <c r="J49" s="217"/>
      <c r="K49" s="217"/>
      <c r="L49" s="217"/>
      <c r="M49" s="217"/>
    </row>
    <row r="50" spans="3:13" x14ac:dyDescent="0.3">
      <c r="C50" s="217"/>
      <c r="D50" s="217"/>
      <c r="E50" s="217"/>
      <c r="F50" s="217"/>
      <c r="G50" s="217"/>
      <c r="H50" s="217"/>
      <c r="I50" s="217"/>
      <c r="J50" s="217"/>
      <c r="K50" s="217"/>
      <c r="L50" s="217"/>
      <c r="M50" s="217"/>
    </row>
    <row r="51" spans="3:13" x14ac:dyDescent="0.3">
      <c r="C51" s="217"/>
      <c r="D51" s="217"/>
      <c r="E51" s="217"/>
      <c r="F51" s="217"/>
      <c r="G51" s="217"/>
      <c r="H51" s="217"/>
      <c r="I51" s="217"/>
      <c r="J51" s="217"/>
      <c r="K51" s="217"/>
      <c r="L51" s="217"/>
      <c r="M51" s="217"/>
    </row>
    <row r="52" spans="3:13" x14ac:dyDescent="0.3">
      <c r="C52" s="217"/>
      <c r="D52" s="217"/>
      <c r="E52" s="217"/>
      <c r="F52" s="217"/>
      <c r="G52" s="217"/>
      <c r="H52" s="217"/>
      <c r="I52" s="217"/>
      <c r="J52" s="217"/>
      <c r="K52" s="217"/>
      <c r="L52" s="217"/>
      <c r="M52" s="217"/>
    </row>
    <row r="53" spans="3:13" x14ac:dyDescent="0.3">
      <c r="C53" s="213"/>
      <c r="D53" s="213"/>
      <c r="E53" s="213"/>
      <c r="F53" s="213"/>
      <c r="G53" s="213"/>
      <c r="H53" s="213"/>
      <c r="I53" s="213"/>
      <c r="J53" s="213"/>
      <c r="K53" s="213"/>
      <c r="L53" s="213"/>
      <c r="M53" s="213"/>
    </row>
  </sheetData>
  <sheetProtection algorithmName="SHA-512" hashValue="Q8YEnBuRYnJJ1pxrQhmtL86I8uTbWjjiF/9i+zqWGz0MIgfl4G6+iQnwiUR2xKvUVp498qYEYeDgLTzTRNG4wA==" saltValue="Y+kY3HWY9oEt6bK4AjASLg==" spinCount="100000" sheet="1" objects="1" scenarios="1" insertRows="0"/>
  <mergeCells count="43">
    <mergeCell ref="C15:E15"/>
    <mergeCell ref="F15:M15"/>
    <mergeCell ref="C3:M6"/>
    <mergeCell ref="C8:H8"/>
    <mergeCell ref="C9:M12"/>
    <mergeCell ref="C14:E14"/>
    <mergeCell ref="F14:M14"/>
    <mergeCell ref="C16:E16"/>
    <mergeCell ref="F16:M16"/>
    <mergeCell ref="C17:E17"/>
    <mergeCell ref="F17:M17"/>
    <mergeCell ref="C18:E18"/>
    <mergeCell ref="F18:M18"/>
    <mergeCell ref="C19:E19"/>
    <mergeCell ref="F19:M19"/>
    <mergeCell ref="C20:E20"/>
    <mergeCell ref="F20:M20"/>
    <mergeCell ref="C21:E21"/>
    <mergeCell ref="F21:M21"/>
    <mergeCell ref="C26:E26"/>
    <mergeCell ref="F26:M26"/>
    <mergeCell ref="C27:E27"/>
    <mergeCell ref="F27:M27"/>
    <mergeCell ref="C28:E28"/>
    <mergeCell ref="F28:M28"/>
    <mergeCell ref="C29:E29"/>
    <mergeCell ref="F29:M29"/>
    <mergeCell ref="C30:E30"/>
    <mergeCell ref="F30:M30"/>
    <mergeCell ref="C31:E31"/>
    <mergeCell ref="F31:M31"/>
    <mergeCell ref="D43:I43"/>
    <mergeCell ref="C32:E32"/>
    <mergeCell ref="F32:M32"/>
    <mergeCell ref="C33:E33"/>
    <mergeCell ref="F33:M33"/>
    <mergeCell ref="C34:E34"/>
    <mergeCell ref="F34:M34"/>
    <mergeCell ref="C38:F39"/>
    <mergeCell ref="G39:I39"/>
    <mergeCell ref="K39:M39"/>
    <mergeCell ref="C41:E41"/>
    <mergeCell ref="F41:I41"/>
  </mergeCells>
  <dataValidations count="1">
    <dataValidation type="textLength" operator="lessThan" allowBlank="1" showInputMessage="1" showErrorMessage="1" sqref="J39 C35:F39 C41:E41 C43 C3:M7 C9:M14 I8:M8" xr:uid="{2E1A5F5D-EB7C-4461-B054-59B8B79005D7}">
      <formula1>0</formula1>
    </dataValidation>
  </dataValidations>
  <pageMargins left="0.7" right="0.7" top="0.75" bottom="0.75" header="0.3" footer="0.3"/>
  <pageSetup scale="9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72A1-0E33-4029-B8F1-4995819037D5}">
  <sheetPr>
    <pageSetUpPr fitToPage="1"/>
  </sheetPr>
  <dimension ref="B1:O129"/>
  <sheetViews>
    <sheetView showGridLines="0" zoomScale="80" zoomScaleNormal="80" workbookViewId="0">
      <pane xSplit="5" ySplit="10" topLeftCell="F11" activePane="bottomRight" state="frozen"/>
      <selection pane="topRight" activeCell="F1" sqref="F1"/>
      <selection pane="bottomLeft" activeCell="A11" sqref="A11"/>
      <selection pane="bottomRight" activeCell="G14" sqref="G14"/>
    </sheetView>
  </sheetViews>
  <sheetFormatPr defaultColWidth="8.77734375" defaultRowHeight="15" x14ac:dyDescent="0.35"/>
  <cols>
    <col min="1" max="1" width="8.77734375" style="4"/>
    <col min="2" max="2" width="28.77734375" style="4" customWidth="1"/>
    <col min="3" max="3" width="26.88671875" style="4" customWidth="1"/>
    <col min="4" max="4" width="19.5546875" style="4" customWidth="1"/>
    <col min="5" max="5" width="22.33203125" style="4" customWidth="1"/>
    <col min="6" max="6" width="23" style="4" customWidth="1"/>
    <col min="7" max="8" width="27.21875" style="4" customWidth="1"/>
    <col min="9" max="9" width="39.77734375" style="4" customWidth="1"/>
    <col min="10" max="10" width="37.44140625" style="4" customWidth="1"/>
    <col min="11" max="11" width="42.6640625" style="4" customWidth="1"/>
    <col min="12" max="12" width="18.6640625" style="4" customWidth="1"/>
    <col min="13" max="13" width="27.44140625" style="4" customWidth="1"/>
    <col min="14" max="14" width="26.77734375" style="4" customWidth="1"/>
    <col min="15" max="15" width="33.77734375" style="4" customWidth="1"/>
    <col min="16" max="16384" width="8.77734375" style="4"/>
  </cols>
  <sheetData>
    <row r="1" spans="2:15" ht="23.1" customHeight="1" x14ac:dyDescent="0.35">
      <c r="C1" s="70"/>
      <c r="D1" s="70"/>
      <c r="E1" s="70"/>
      <c r="F1" s="70"/>
      <c r="G1" s="70"/>
      <c r="H1" s="70"/>
      <c r="I1" s="70"/>
      <c r="J1" s="70"/>
      <c r="K1" s="70"/>
      <c r="L1" s="70"/>
      <c r="M1" s="70"/>
      <c r="N1" s="70"/>
      <c r="O1" s="70"/>
    </row>
    <row r="2" spans="2:15" ht="23.1" customHeight="1" x14ac:dyDescent="0.35">
      <c r="C2" s="62"/>
      <c r="D2" s="62"/>
      <c r="E2" s="62"/>
      <c r="F2" s="62"/>
      <c r="G2" s="62"/>
      <c r="H2" s="63" t="s">
        <v>147</v>
      </c>
      <c r="J2" s="62"/>
      <c r="K2" s="62"/>
      <c r="L2" s="62"/>
      <c r="M2" s="62"/>
      <c r="N2" s="62"/>
      <c r="O2" s="62"/>
    </row>
    <row r="3" spans="2:15" ht="23.1" customHeight="1" x14ac:dyDescent="0.35">
      <c r="C3" s="64"/>
      <c r="D3" s="64"/>
      <c r="E3" s="64"/>
      <c r="F3" s="64"/>
      <c r="G3" s="64"/>
      <c r="H3" s="67" t="s">
        <v>143</v>
      </c>
      <c r="J3" s="64"/>
      <c r="K3" s="64"/>
      <c r="L3" s="64"/>
      <c r="M3" s="64"/>
      <c r="N3" s="64"/>
      <c r="O3" s="64"/>
    </row>
    <row r="4" spans="2:15" ht="23.1" customHeight="1" x14ac:dyDescent="0.35">
      <c r="B4" s="66"/>
      <c r="C4" s="66"/>
      <c r="D4" s="66"/>
      <c r="E4" s="66"/>
      <c r="F4" s="66"/>
      <c r="G4" s="66"/>
      <c r="H4" s="71"/>
      <c r="J4" s="66"/>
      <c r="K4" s="66"/>
      <c r="L4" s="66"/>
      <c r="M4" s="66"/>
      <c r="N4" s="66"/>
      <c r="O4" s="66"/>
    </row>
    <row r="5" spans="2:15" ht="23.1" customHeight="1" x14ac:dyDescent="0.35">
      <c r="B5" s="66"/>
      <c r="C5" s="66"/>
      <c r="D5" s="66"/>
      <c r="E5" s="66"/>
      <c r="F5" s="66"/>
      <c r="G5" s="66"/>
      <c r="H5" s="65" t="s">
        <v>258</v>
      </c>
      <c r="J5" s="66"/>
      <c r="K5" s="66"/>
      <c r="L5" s="66"/>
      <c r="M5" s="66"/>
      <c r="N5" s="66"/>
      <c r="O5" s="66"/>
    </row>
    <row r="6" spans="2:15" ht="23.1" customHeight="1" thickBot="1" x14ac:dyDescent="0.4">
      <c r="B6" s="66"/>
      <c r="C6" s="66"/>
      <c r="D6" s="66"/>
      <c r="E6" s="66"/>
      <c r="F6" s="66"/>
      <c r="G6" s="66"/>
      <c r="H6" s="66"/>
      <c r="I6" s="66"/>
      <c r="J6" s="66"/>
      <c r="K6" s="66"/>
      <c r="L6" s="66"/>
      <c r="M6" s="66"/>
      <c r="N6" s="66"/>
      <c r="O6" s="66"/>
    </row>
    <row r="7" spans="2:15" ht="19.5" customHeight="1" thickBot="1" x14ac:dyDescent="0.4">
      <c r="B7" s="556" t="s">
        <v>2</v>
      </c>
      <c r="C7" s="557"/>
      <c r="D7" s="557"/>
      <c r="E7" s="558"/>
      <c r="F7" s="565" t="s">
        <v>278</v>
      </c>
      <c r="G7" s="566"/>
      <c r="H7" s="567"/>
      <c r="I7" s="564" t="s">
        <v>3</v>
      </c>
      <c r="J7" s="564"/>
      <c r="K7" s="564"/>
      <c r="L7" s="564"/>
      <c r="M7" s="564"/>
      <c r="N7" s="556" t="s">
        <v>2</v>
      </c>
      <c r="O7" s="558"/>
    </row>
    <row r="8" spans="2:15" ht="41.4" customHeight="1" thickBot="1" x14ac:dyDescent="0.4">
      <c r="B8" s="559"/>
      <c r="C8" s="560"/>
      <c r="D8" s="560"/>
      <c r="E8" s="561"/>
      <c r="F8" s="568"/>
      <c r="G8" s="569"/>
      <c r="H8" s="570"/>
      <c r="I8" s="562" t="s">
        <v>148</v>
      </c>
      <c r="J8" s="563"/>
      <c r="K8" s="379" t="s">
        <v>149</v>
      </c>
      <c r="L8" s="562" t="s">
        <v>150</v>
      </c>
      <c r="M8" s="563"/>
      <c r="N8" s="559"/>
      <c r="O8" s="561"/>
    </row>
    <row r="9" spans="2:15" ht="120.75" customHeight="1" x14ac:dyDescent="0.35">
      <c r="B9" s="73" t="s">
        <v>20</v>
      </c>
      <c r="C9" s="74" t="s">
        <v>151</v>
      </c>
      <c r="D9" s="74" t="s">
        <v>21</v>
      </c>
      <c r="E9" s="381" t="s">
        <v>144</v>
      </c>
      <c r="F9" s="59" t="s">
        <v>152</v>
      </c>
      <c r="G9" s="75" t="s">
        <v>279</v>
      </c>
      <c r="H9" s="58" t="s">
        <v>23</v>
      </c>
      <c r="I9" s="50" t="s">
        <v>284</v>
      </c>
      <c r="J9" s="53" t="s">
        <v>285</v>
      </c>
      <c r="K9" s="51" t="s">
        <v>286</v>
      </c>
      <c r="L9" s="55" t="s">
        <v>288</v>
      </c>
      <c r="M9" s="54" t="s">
        <v>153</v>
      </c>
      <c r="N9" s="377" t="s">
        <v>154</v>
      </c>
      <c r="O9" s="49" t="s">
        <v>155</v>
      </c>
    </row>
    <row r="10" spans="2:15" ht="30.6" thickBot="1" x14ac:dyDescent="0.4">
      <c r="B10" s="208" t="s">
        <v>309</v>
      </c>
      <c r="C10" s="231" t="s">
        <v>309</v>
      </c>
      <c r="D10" s="231"/>
      <c r="E10" s="209" t="s">
        <v>309</v>
      </c>
      <c r="F10" s="76"/>
      <c r="G10" s="77" t="s">
        <v>280</v>
      </c>
      <c r="H10" s="57" t="s">
        <v>281</v>
      </c>
      <c r="I10" s="60" t="s">
        <v>282</v>
      </c>
      <c r="J10" s="72" t="s">
        <v>283</v>
      </c>
      <c r="K10" s="56" t="s">
        <v>287</v>
      </c>
      <c r="L10" s="60" t="s">
        <v>289</v>
      </c>
      <c r="M10" s="61"/>
      <c r="N10" s="68"/>
      <c r="O10" s="78"/>
    </row>
    <row r="11" spans="2:15" ht="60" customHeight="1" x14ac:dyDescent="0.35">
      <c r="B11" s="383" t="e">
        <f>'Product Details'!#REF!</f>
        <v>#REF!</v>
      </c>
      <c r="C11" s="384" t="e">
        <f>'Product Details'!#REF!</f>
        <v>#REF!</v>
      </c>
      <c r="D11" s="12"/>
      <c r="E11" s="386" t="e">
        <f>'Product Details'!#REF!</f>
        <v>#REF!</v>
      </c>
      <c r="F11" s="79"/>
      <c r="G11" s="385"/>
      <c r="H11" s="80"/>
      <c r="I11" s="81"/>
      <c r="J11" s="82"/>
      <c r="K11" s="241"/>
      <c r="L11" s="11"/>
      <c r="M11" s="16"/>
      <c r="N11" s="303"/>
      <c r="O11" s="46"/>
    </row>
    <row r="12" spans="2:15" ht="60" customHeight="1" x14ac:dyDescent="0.35">
      <c r="B12" s="317">
        <f>'Product Details'!B12</f>
        <v>0</v>
      </c>
      <c r="C12" s="318">
        <f>'Product Details'!C12</f>
        <v>0</v>
      </c>
      <c r="D12" s="84"/>
      <c r="E12" s="387">
        <f>'Product Details'!E12</f>
        <v>0</v>
      </c>
      <c r="F12" s="85"/>
      <c r="G12" s="86"/>
      <c r="H12" s="87"/>
      <c r="I12" s="88"/>
      <c r="J12" s="89"/>
      <c r="K12" s="380"/>
      <c r="L12" s="90"/>
      <c r="M12" s="91"/>
      <c r="N12" s="378"/>
      <c r="O12" s="92"/>
    </row>
    <row r="13" spans="2:15" ht="60" customHeight="1" x14ac:dyDescent="0.35">
      <c r="B13" s="317">
        <f>'Product Details'!B13</f>
        <v>0</v>
      </c>
      <c r="C13" s="318">
        <f>'Product Details'!C13</f>
        <v>0</v>
      </c>
      <c r="D13" s="84"/>
      <c r="E13" s="387">
        <f>'Product Details'!E13</f>
        <v>0</v>
      </c>
      <c r="F13" s="85"/>
      <c r="G13" s="86"/>
      <c r="H13" s="87"/>
      <c r="I13" s="88"/>
      <c r="J13" s="89"/>
      <c r="K13" s="380"/>
      <c r="L13" s="90"/>
      <c r="M13" s="91"/>
      <c r="N13" s="378"/>
      <c r="O13" s="92"/>
    </row>
    <row r="14" spans="2:15" ht="60" customHeight="1" x14ac:dyDescent="0.35">
      <c r="B14" s="317">
        <f>'Product Details'!B14</f>
        <v>0</v>
      </c>
      <c r="C14" s="318">
        <f>'Product Details'!C14</f>
        <v>0</v>
      </c>
      <c r="D14" s="84"/>
      <c r="E14" s="387">
        <f>'Product Details'!E14</f>
        <v>0</v>
      </c>
      <c r="F14" s="85"/>
      <c r="G14" s="86"/>
      <c r="H14" s="87"/>
      <c r="I14" s="88"/>
      <c r="J14" s="89"/>
      <c r="K14" s="380"/>
      <c r="L14" s="90"/>
      <c r="M14" s="91"/>
      <c r="N14" s="378"/>
      <c r="O14" s="92"/>
    </row>
    <row r="15" spans="2:15" ht="60" customHeight="1" x14ac:dyDescent="0.35">
      <c r="B15" s="317">
        <f>'Product Details'!B11</f>
        <v>591727</v>
      </c>
      <c r="C15" s="318">
        <f>'Product Details'!C11</f>
        <v>6261</v>
      </c>
      <c r="D15" s="84"/>
      <c r="E15" s="387" t="str">
        <f>'Product Details'!E11</f>
        <v>14 25X4X10 75 GLD BIRDS ON A TWIG</v>
      </c>
      <c r="F15" s="85"/>
      <c r="G15" s="86"/>
      <c r="H15" s="87"/>
      <c r="I15" s="88"/>
      <c r="J15" s="89"/>
      <c r="K15" s="380"/>
      <c r="L15" s="90"/>
      <c r="M15" s="91"/>
      <c r="N15" s="378"/>
      <c r="O15" s="92"/>
    </row>
    <row r="16" spans="2:15" ht="60" customHeight="1" x14ac:dyDescent="0.35">
      <c r="B16" s="317">
        <f>'Product Details'!B16</f>
        <v>0</v>
      </c>
      <c r="C16" s="318">
        <f>'Product Details'!C16</f>
        <v>0</v>
      </c>
      <c r="D16" s="84"/>
      <c r="E16" s="387">
        <f>'Product Details'!E16</f>
        <v>0</v>
      </c>
      <c r="F16" s="85"/>
      <c r="G16" s="86"/>
      <c r="H16" s="87"/>
      <c r="I16" s="88"/>
      <c r="J16" s="89"/>
      <c r="K16" s="380"/>
      <c r="L16" s="90"/>
      <c r="M16" s="91"/>
      <c r="N16" s="378"/>
      <c r="O16" s="92"/>
    </row>
    <row r="17" spans="2:15" ht="60" customHeight="1" x14ac:dyDescent="0.35">
      <c r="B17" s="317">
        <f>'Product Details'!B17</f>
        <v>0</v>
      </c>
      <c r="C17" s="318">
        <f>'Product Details'!C17</f>
        <v>0</v>
      </c>
      <c r="D17" s="84"/>
      <c r="E17" s="387">
        <f>'Product Details'!E17</f>
        <v>0</v>
      </c>
      <c r="F17" s="85"/>
      <c r="G17" s="86"/>
      <c r="H17" s="87"/>
      <c r="I17" s="88"/>
      <c r="J17" s="89"/>
      <c r="K17" s="380"/>
      <c r="L17" s="90"/>
      <c r="M17" s="91"/>
      <c r="N17" s="378"/>
      <c r="O17" s="92"/>
    </row>
    <row r="18" spans="2:15" ht="60" customHeight="1" x14ac:dyDescent="0.35">
      <c r="B18" s="317">
        <f>'Product Details'!B18</f>
        <v>0</v>
      </c>
      <c r="C18" s="318">
        <f>'Product Details'!C18</f>
        <v>0</v>
      </c>
      <c r="D18" s="84"/>
      <c r="E18" s="387">
        <f>'Product Details'!E18</f>
        <v>0</v>
      </c>
      <c r="F18" s="85"/>
      <c r="G18" s="86"/>
      <c r="H18" s="87"/>
      <c r="I18" s="88"/>
      <c r="J18" s="89"/>
      <c r="K18" s="380"/>
      <c r="L18" s="90"/>
      <c r="M18" s="91"/>
      <c r="N18" s="378"/>
      <c r="O18" s="92"/>
    </row>
    <row r="19" spans="2:15" ht="60" customHeight="1" x14ac:dyDescent="0.35">
      <c r="B19" s="317">
        <f>'Product Details'!B19</f>
        <v>0</v>
      </c>
      <c r="C19" s="318">
        <f>'Product Details'!C19</f>
        <v>0</v>
      </c>
      <c r="D19" s="84"/>
      <c r="E19" s="387">
        <f>'Product Details'!E19</f>
        <v>0</v>
      </c>
      <c r="F19" s="85"/>
      <c r="G19" s="86"/>
      <c r="H19" s="87"/>
      <c r="I19" s="88"/>
      <c r="J19" s="89"/>
      <c r="K19" s="380"/>
      <c r="L19" s="90"/>
      <c r="M19" s="91"/>
      <c r="N19" s="378"/>
      <c r="O19" s="92"/>
    </row>
    <row r="20" spans="2:15" ht="60" customHeight="1" x14ac:dyDescent="0.35">
      <c r="B20" s="317">
        <f>'Product Details'!B20</f>
        <v>0</v>
      </c>
      <c r="C20" s="318">
        <f>'Product Details'!C20</f>
        <v>0</v>
      </c>
      <c r="D20" s="84"/>
      <c r="E20" s="387">
        <f>'Product Details'!E20</f>
        <v>0</v>
      </c>
      <c r="F20" s="85"/>
      <c r="G20" s="86"/>
      <c r="H20" s="87"/>
      <c r="I20" s="88"/>
      <c r="J20" s="89"/>
      <c r="K20" s="380"/>
      <c r="L20" s="90"/>
      <c r="M20" s="91"/>
      <c r="N20" s="378"/>
      <c r="O20" s="92"/>
    </row>
    <row r="21" spans="2:15" ht="60" customHeight="1" x14ac:dyDescent="0.35">
      <c r="B21" s="317">
        <f>'Product Details'!B21</f>
        <v>0</v>
      </c>
      <c r="C21" s="318">
        <f>'Product Details'!C21</f>
        <v>0</v>
      </c>
      <c r="D21" s="84"/>
      <c r="E21" s="387">
        <f>'Product Details'!E21</f>
        <v>0</v>
      </c>
      <c r="F21" s="85"/>
      <c r="G21" s="86"/>
      <c r="H21" s="87"/>
      <c r="I21" s="88"/>
      <c r="J21" s="89"/>
      <c r="K21" s="380"/>
      <c r="L21" s="90"/>
      <c r="M21" s="91"/>
      <c r="N21" s="378"/>
      <c r="O21" s="92"/>
    </row>
    <row r="22" spans="2:15" ht="60" customHeight="1" x14ac:dyDescent="0.35">
      <c r="B22" s="317">
        <f>'Product Details'!B22</f>
        <v>0</v>
      </c>
      <c r="C22" s="318">
        <f>'Product Details'!C22</f>
        <v>0</v>
      </c>
      <c r="D22" s="84"/>
      <c r="E22" s="387">
        <f>'Product Details'!E22</f>
        <v>0</v>
      </c>
      <c r="F22" s="85"/>
      <c r="G22" s="86"/>
      <c r="H22" s="87"/>
      <c r="I22" s="88"/>
      <c r="J22" s="89"/>
      <c r="K22" s="380"/>
      <c r="L22" s="90"/>
      <c r="M22" s="91"/>
      <c r="N22" s="378"/>
      <c r="O22" s="92"/>
    </row>
    <row r="23" spans="2:15" ht="60" customHeight="1" x14ac:dyDescent="0.35">
      <c r="B23" s="317">
        <f>'Product Details'!B23</f>
        <v>0</v>
      </c>
      <c r="C23" s="318">
        <f>'Product Details'!C23</f>
        <v>0</v>
      </c>
      <c r="D23" s="84"/>
      <c r="E23" s="387">
        <f>'Product Details'!E23</f>
        <v>0</v>
      </c>
      <c r="F23" s="88"/>
      <c r="G23" s="86"/>
      <c r="H23" s="89"/>
      <c r="I23" s="88"/>
      <c r="J23" s="89"/>
      <c r="K23" s="380"/>
      <c r="L23" s="90"/>
      <c r="M23" s="91"/>
      <c r="N23" s="378"/>
      <c r="O23" s="92"/>
    </row>
    <row r="24" spans="2:15" ht="60" customHeight="1" x14ac:dyDescent="0.35">
      <c r="B24" s="317">
        <f>'Product Details'!B24</f>
        <v>0</v>
      </c>
      <c r="C24" s="318">
        <f>'Product Details'!C24</f>
        <v>0</v>
      </c>
      <c r="D24" s="84"/>
      <c r="E24" s="387">
        <f>'Product Details'!E24</f>
        <v>0</v>
      </c>
      <c r="F24" s="88"/>
      <c r="G24" s="86"/>
      <c r="H24" s="89"/>
      <c r="I24" s="88"/>
      <c r="J24" s="89"/>
      <c r="K24" s="380"/>
      <c r="L24" s="90"/>
      <c r="M24" s="91"/>
      <c r="N24" s="378"/>
      <c r="O24" s="92"/>
    </row>
    <row r="25" spans="2:15" ht="60" customHeight="1" x14ac:dyDescent="0.35">
      <c r="B25" s="317">
        <f>'Product Details'!B25</f>
        <v>0</v>
      </c>
      <c r="C25" s="318">
        <f>'Product Details'!C25</f>
        <v>0</v>
      </c>
      <c r="D25" s="84"/>
      <c r="E25" s="387">
        <f>'Product Details'!E25</f>
        <v>0</v>
      </c>
      <c r="F25" s="88"/>
      <c r="G25" s="86"/>
      <c r="H25" s="89"/>
      <c r="I25" s="88"/>
      <c r="J25" s="89"/>
      <c r="K25" s="380"/>
      <c r="L25" s="90"/>
      <c r="M25" s="91"/>
      <c r="N25" s="378"/>
      <c r="O25" s="92"/>
    </row>
    <row r="26" spans="2:15" ht="60" customHeight="1" x14ac:dyDescent="0.35">
      <c r="B26" s="317">
        <f>'Product Details'!B26</f>
        <v>0</v>
      </c>
      <c r="C26" s="318">
        <f>'Product Details'!C26</f>
        <v>0</v>
      </c>
      <c r="D26" s="84"/>
      <c r="E26" s="387">
        <f>'Product Details'!E26</f>
        <v>0</v>
      </c>
      <c r="F26" s="88"/>
      <c r="G26" s="86"/>
      <c r="H26" s="89"/>
      <c r="I26" s="88"/>
      <c r="J26" s="89"/>
      <c r="K26" s="380"/>
      <c r="L26" s="90"/>
      <c r="M26" s="91"/>
      <c r="N26" s="378"/>
      <c r="O26" s="92"/>
    </row>
    <row r="27" spans="2:15" ht="60" customHeight="1" x14ac:dyDescent="0.35">
      <c r="B27" s="317">
        <f>'Product Details'!B27</f>
        <v>0</v>
      </c>
      <c r="C27" s="318">
        <f>'Product Details'!C27</f>
        <v>0</v>
      </c>
      <c r="D27" s="376"/>
      <c r="E27" s="388">
        <f>'Product Details'!E27</f>
        <v>0</v>
      </c>
      <c r="F27" s="390"/>
      <c r="G27" s="391"/>
      <c r="H27" s="392"/>
      <c r="I27" s="390"/>
      <c r="J27" s="392"/>
      <c r="K27" s="393"/>
      <c r="L27" s="390"/>
      <c r="M27" s="392"/>
      <c r="N27" s="390"/>
      <c r="O27" s="392"/>
    </row>
    <row r="28" spans="2:15" ht="60" customHeight="1" x14ac:dyDescent="0.35">
      <c r="B28" s="317">
        <f>'Product Details'!B28</f>
        <v>0</v>
      </c>
      <c r="C28" s="318">
        <f>'Product Details'!C28</f>
        <v>0</v>
      </c>
      <c r="D28" s="376"/>
      <c r="E28" s="388">
        <f>'Product Details'!E28</f>
        <v>0</v>
      </c>
      <c r="F28" s="390"/>
      <c r="G28" s="391"/>
      <c r="H28" s="392"/>
      <c r="I28" s="390"/>
      <c r="J28" s="392"/>
      <c r="K28" s="393"/>
      <c r="L28" s="390"/>
      <c r="M28" s="392"/>
      <c r="N28" s="390"/>
      <c r="O28" s="392"/>
    </row>
    <row r="29" spans="2:15" ht="60" customHeight="1" x14ac:dyDescent="0.35">
      <c r="B29" s="317">
        <f>'Product Details'!B29</f>
        <v>0</v>
      </c>
      <c r="C29" s="318">
        <f>'Product Details'!C29</f>
        <v>0</v>
      </c>
      <c r="D29" s="376"/>
      <c r="E29" s="388">
        <f>'Product Details'!E29</f>
        <v>0</v>
      </c>
      <c r="F29" s="390"/>
      <c r="G29" s="391"/>
      <c r="H29" s="392"/>
      <c r="I29" s="390"/>
      <c r="J29" s="392"/>
      <c r="K29" s="393"/>
      <c r="L29" s="390"/>
      <c r="M29" s="392"/>
      <c r="N29" s="390"/>
      <c r="O29" s="392"/>
    </row>
    <row r="30" spans="2:15" ht="60" customHeight="1" x14ac:dyDescent="0.35">
      <c r="B30" s="317">
        <f>'Product Details'!B30</f>
        <v>0</v>
      </c>
      <c r="C30" s="318">
        <f>'Product Details'!C30</f>
        <v>0</v>
      </c>
      <c r="D30" s="376"/>
      <c r="E30" s="388">
        <f>'Product Details'!E30</f>
        <v>0</v>
      </c>
      <c r="F30" s="390"/>
      <c r="G30" s="391"/>
      <c r="H30" s="392"/>
      <c r="I30" s="390"/>
      <c r="J30" s="392"/>
      <c r="K30" s="393"/>
      <c r="L30" s="390"/>
      <c r="M30" s="392"/>
      <c r="N30" s="390"/>
      <c r="O30" s="392"/>
    </row>
    <row r="31" spans="2:15" ht="60" customHeight="1" x14ac:dyDescent="0.35">
      <c r="B31" s="317">
        <f>'Product Details'!B31</f>
        <v>0</v>
      </c>
      <c r="C31" s="318">
        <f>'Product Details'!C31</f>
        <v>0</v>
      </c>
      <c r="D31" s="376"/>
      <c r="E31" s="388">
        <f>'Product Details'!E31</f>
        <v>0</v>
      </c>
      <c r="F31" s="390"/>
      <c r="G31" s="391"/>
      <c r="H31" s="392"/>
      <c r="I31" s="390"/>
      <c r="J31" s="392"/>
      <c r="K31" s="393"/>
      <c r="L31" s="390"/>
      <c r="M31" s="392"/>
      <c r="N31" s="390"/>
      <c r="O31" s="392"/>
    </row>
    <row r="32" spans="2:15" ht="60" customHeight="1" x14ac:dyDescent="0.35">
      <c r="B32" s="317">
        <f>'Product Details'!B32</f>
        <v>0</v>
      </c>
      <c r="C32" s="318">
        <f>'Product Details'!C32</f>
        <v>0</v>
      </c>
      <c r="D32" s="376"/>
      <c r="E32" s="388">
        <f>'Product Details'!E32</f>
        <v>0</v>
      </c>
      <c r="F32" s="390"/>
      <c r="G32" s="391"/>
      <c r="H32" s="392"/>
      <c r="I32" s="390"/>
      <c r="J32" s="392"/>
      <c r="K32" s="393"/>
      <c r="L32" s="390"/>
      <c r="M32" s="392"/>
      <c r="N32" s="390"/>
      <c r="O32" s="392"/>
    </row>
    <row r="33" spans="2:15" ht="60" customHeight="1" x14ac:dyDescent="0.35">
      <c r="B33" s="317">
        <f>'Product Details'!B33</f>
        <v>0</v>
      </c>
      <c r="C33" s="318">
        <f>'Product Details'!C33</f>
        <v>0</v>
      </c>
      <c r="D33" s="376"/>
      <c r="E33" s="388">
        <f>'Product Details'!E33</f>
        <v>0</v>
      </c>
      <c r="F33" s="390"/>
      <c r="G33" s="391"/>
      <c r="H33" s="392"/>
      <c r="I33" s="390"/>
      <c r="J33" s="392"/>
      <c r="K33" s="393"/>
      <c r="L33" s="390"/>
      <c r="M33" s="392"/>
      <c r="N33" s="390"/>
      <c r="O33" s="392"/>
    </row>
    <row r="34" spans="2:15" ht="60" customHeight="1" x14ac:dyDescent="0.35">
      <c r="B34" s="317">
        <f>'Product Details'!B34</f>
        <v>0</v>
      </c>
      <c r="C34" s="318">
        <f>'Product Details'!C34</f>
        <v>0</v>
      </c>
      <c r="D34" s="376"/>
      <c r="E34" s="388">
        <f>'Product Details'!E34</f>
        <v>0</v>
      </c>
      <c r="F34" s="390"/>
      <c r="G34" s="391"/>
      <c r="H34" s="392"/>
      <c r="I34" s="390"/>
      <c r="J34" s="392"/>
      <c r="K34" s="393"/>
      <c r="L34" s="390"/>
      <c r="M34" s="392"/>
      <c r="N34" s="390"/>
      <c r="O34" s="392"/>
    </row>
    <row r="35" spans="2:15" ht="60" customHeight="1" x14ac:dyDescent="0.35">
      <c r="B35" s="317">
        <f>'Product Details'!B35</f>
        <v>0</v>
      </c>
      <c r="C35" s="318">
        <f>'Product Details'!C35</f>
        <v>0</v>
      </c>
      <c r="D35" s="376"/>
      <c r="E35" s="388">
        <f>'Product Details'!E35</f>
        <v>0</v>
      </c>
      <c r="F35" s="390"/>
      <c r="G35" s="391"/>
      <c r="H35" s="392"/>
      <c r="I35" s="390"/>
      <c r="J35" s="392"/>
      <c r="K35" s="393"/>
      <c r="L35" s="390"/>
      <c r="M35" s="392"/>
      <c r="N35" s="390"/>
      <c r="O35" s="392"/>
    </row>
    <row r="36" spans="2:15" ht="60" customHeight="1" x14ac:dyDescent="0.35">
      <c r="B36" s="383">
        <f>'Product Details'!B36</f>
        <v>0</v>
      </c>
      <c r="C36" s="384">
        <f>'Product Details'!C36</f>
        <v>0</v>
      </c>
      <c r="D36" s="12"/>
      <c r="E36" s="386">
        <f>'Product Details'!E36</f>
        <v>0</v>
      </c>
      <c r="F36" s="79"/>
      <c r="G36" s="385"/>
      <c r="H36" s="80"/>
      <c r="I36" s="81"/>
      <c r="J36" s="82"/>
      <c r="K36" s="241"/>
      <c r="L36" s="11"/>
      <c r="M36" s="16"/>
      <c r="N36" s="303"/>
      <c r="O36" s="46"/>
    </row>
    <row r="37" spans="2:15" ht="60" customHeight="1" x14ac:dyDescent="0.35">
      <c r="B37" s="317">
        <f>'Product Details'!B37</f>
        <v>0</v>
      </c>
      <c r="C37" s="318">
        <f>'Product Details'!C37</f>
        <v>0</v>
      </c>
      <c r="D37" s="84"/>
      <c r="E37" s="387">
        <f>'Product Details'!E37</f>
        <v>0</v>
      </c>
      <c r="F37" s="85"/>
      <c r="G37" s="86"/>
      <c r="H37" s="87"/>
      <c r="I37" s="88"/>
      <c r="J37" s="89"/>
      <c r="K37" s="380"/>
      <c r="L37" s="90"/>
      <c r="M37" s="91"/>
      <c r="N37" s="378"/>
      <c r="O37" s="92"/>
    </row>
    <row r="38" spans="2:15" ht="60" customHeight="1" x14ac:dyDescent="0.35">
      <c r="B38" s="317">
        <f>'Product Details'!B38</f>
        <v>0</v>
      </c>
      <c r="C38" s="318">
        <f>'Product Details'!C38</f>
        <v>0</v>
      </c>
      <c r="D38" s="84"/>
      <c r="E38" s="387">
        <f>'Product Details'!E38</f>
        <v>0</v>
      </c>
      <c r="F38" s="85"/>
      <c r="G38" s="86"/>
      <c r="H38" s="87"/>
      <c r="I38" s="88"/>
      <c r="J38" s="89"/>
      <c r="K38" s="380"/>
      <c r="L38" s="90"/>
      <c r="M38" s="91"/>
      <c r="N38" s="378"/>
      <c r="O38" s="92"/>
    </row>
    <row r="39" spans="2:15" ht="60" customHeight="1" x14ac:dyDescent="0.35">
      <c r="B39" s="317">
        <f>'Product Details'!B39</f>
        <v>0</v>
      </c>
      <c r="C39" s="318">
        <f>'Product Details'!C39</f>
        <v>0</v>
      </c>
      <c r="D39" s="84"/>
      <c r="E39" s="387">
        <f>'Product Details'!E39</f>
        <v>0</v>
      </c>
      <c r="F39" s="85"/>
      <c r="G39" s="86"/>
      <c r="H39" s="87"/>
      <c r="I39" s="88"/>
      <c r="J39" s="89"/>
      <c r="K39" s="380"/>
      <c r="L39" s="90"/>
      <c r="M39" s="91"/>
      <c r="N39" s="378"/>
      <c r="O39" s="92"/>
    </row>
    <row r="40" spans="2:15" ht="60" customHeight="1" x14ac:dyDescent="0.35">
      <c r="B40" s="317">
        <f>'Product Details'!B40</f>
        <v>0</v>
      </c>
      <c r="C40" s="318">
        <f>'Product Details'!C40</f>
        <v>0</v>
      </c>
      <c r="D40" s="84"/>
      <c r="E40" s="387">
        <f>'Product Details'!E40</f>
        <v>0</v>
      </c>
      <c r="F40" s="85"/>
      <c r="G40" s="86"/>
      <c r="H40" s="87"/>
      <c r="I40" s="88"/>
      <c r="J40" s="89"/>
      <c r="K40" s="380"/>
      <c r="L40" s="90"/>
      <c r="M40" s="91"/>
      <c r="N40" s="378"/>
      <c r="O40" s="92"/>
    </row>
    <row r="41" spans="2:15" ht="60" customHeight="1" x14ac:dyDescent="0.35">
      <c r="B41" s="317">
        <f>'Product Details'!B41</f>
        <v>0</v>
      </c>
      <c r="C41" s="318">
        <f>'Product Details'!C41</f>
        <v>0</v>
      </c>
      <c r="D41" s="84"/>
      <c r="E41" s="387">
        <f>'Product Details'!E41</f>
        <v>0</v>
      </c>
      <c r="F41" s="85"/>
      <c r="G41" s="86"/>
      <c r="H41" s="87"/>
      <c r="I41" s="88"/>
      <c r="J41" s="89"/>
      <c r="K41" s="380"/>
      <c r="L41" s="90"/>
      <c r="M41" s="91"/>
      <c r="N41" s="378"/>
      <c r="O41" s="92"/>
    </row>
    <row r="42" spans="2:15" ht="60" customHeight="1" x14ac:dyDescent="0.35">
      <c r="B42" s="317">
        <f>'Product Details'!B42</f>
        <v>0</v>
      </c>
      <c r="C42" s="318">
        <f>'Product Details'!C42</f>
        <v>0</v>
      </c>
      <c r="D42" s="84"/>
      <c r="E42" s="387">
        <f>'Product Details'!E42</f>
        <v>0</v>
      </c>
      <c r="F42" s="85"/>
      <c r="G42" s="86"/>
      <c r="H42" s="87"/>
      <c r="I42" s="88"/>
      <c r="J42" s="89"/>
      <c r="K42" s="380"/>
      <c r="L42" s="90"/>
      <c r="M42" s="91"/>
      <c r="N42" s="378"/>
      <c r="O42" s="92"/>
    </row>
    <row r="43" spans="2:15" ht="60" customHeight="1" x14ac:dyDescent="0.35">
      <c r="B43" s="317">
        <f>'Product Details'!B43</f>
        <v>0</v>
      </c>
      <c r="C43" s="318">
        <f>'Product Details'!C43</f>
        <v>0</v>
      </c>
      <c r="D43" s="84"/>
      <c r="E43" s="387">
        <f>'Product Details'!E43</f>
        <v>0</v>
      </c>
      <c r="F43" s="85"/>
      <c r="G43" s="86"/>
      <c r="H43" s="87"/>
      <c r="I43" s="88"/>
      <c r="J43" s="89"/>
      <c r="K43" s="380"/>
      <c r="L43" s="90"/>
      <c r="M43" s="91"/>
      <c r="N43" s="378"/>
      <c r="O43" s="92"/>
    </row>
    <row r="44" spans="2:15" ht="60" customHeight="1" x14ac:dyDescent="0.35">
      <c r="B44" s="317">
        <f>'Product Details'!B44</f>
        <v>0</v>
      </c>
      <c r="C44" s="318">
        <f>'Product Details'!C44</f>
        <v>0</v>
      </c>
      <c r="D44" s="84"/>
      <c r="E44" s="387">
        <f>'Product Details'!E44</f>
        <v>0</v>
      </c>
      <c r="F44" s="85"/>
      <c r="G44" s="86"/>
      <c r="H44" s="87"/>
      <c r="I44" s="88"/>
      <c r="J44" s="89"/>
      <c r="K44" s="380"/>
      <c r="L44" s="90"/>
      <c r="M44" s="91"/>
      <c r="N44" s="378"/>
      <c r="O44" s="92"/>
    </row>
    <row r="45" spans="2:15" ht="60" customHeight="1" x14ac:dyDescent="0.35">
      <c r="B45" s="317">
        <f>'Product Details'!B45</f>
        <v>0</v>
      </c>
      <c r="C45" s="318">
        <f>'Product Details'!C45</f>
        <v>0</v>
      </c>
      <c r="D45" s="84"/>
      <c r="E45" s="387">
        <f>'Product Details'!E45</f>
        <v>0</v>
      </c>
      <c r="F45" s="85"/>
      <c r="G45" s="86"/>
      <c r="H45" s="87"/>
      <c r="I45" s="88"/>
      <c r="J45" s="89"/>
      <c r="K45" s="380"/>
      <c r="L45" s="90"/>
      <c r="M45" s="91"/>
      <c r="N45" s="378"/>
      <c r="O45" s="92"/>
    </row>
    <row r="46" spans="2:15" ht="60" customHeight="1" x14ac:dyDescent="0.35">
      <c r="B46" s="317">
        <f>'Product Details'!B46</f>
        <v>0</v>
      </c>
      <c r="C46" s="318">
        <f>'Product Details'!C46</f>
        <v>0</v>
      </c>
      <c r="D46" s="84"/>
      <c r="E46" s="387">
        <f>'Product Details'!E46</f>
        <v>0</v>
      </c>
      <c r="F46" s="85"/>
      <c r="G46" s="86"/>
      <c r="H46" s="87"/>
      <c r="I46" s="88"/>
      <c r="J46" s="89"/>
      <c r="K46" s="380"/>
      <c r="L46" s="90"/>
      <c r="M46" s="91"/>
      <c r="N46" s="378"/>
      <c r="O46" s="92"/>
    </row>
    <row r="47" spans="2:15" ht="60" customHeight="1" x14ac:dyDescent="0.35">
      <c r="B47" s="317">
        <f>'Product Details'!B47</f>
        <v>0</v>
      </c>
      <c r="C47" s="318">
        <f>'Product Details'!C47</f>
        <v>0</v>
      </c>
      <c r="D47" s="84"/>
      <c r="E47" s="387">
        <f>'Product Details'!E47</f>
        <v>0</v>
      </c>
      <c r="F47" s="85"/>
      <c r="G47" s="86"/>
      <c r="H47" s="87"/>
      <c r="I47" s="88"/>
      <c r="J47" s="89"/>
      <c r="K47" s="380"/>
      <c r="L47" s="90"/>
      <c r="M47" s="91"/>
      <c r="N47" s="378"/>
      <c r="O47" s="92"/>
    </row>
    <row r="48" spans="2:15" ht="60" customHeight="1" x14ac:dyDescent="0.35">
      <c r="B48" s="317">
        <f>'Product Details'!B48</f>
        <v>0</v>
      </c>
      <c r="C48" s="318">
        <f>'Product Details'!C48</f>
        <v>0</v>
      </c>
      <c r="D48" s="84"/>
      <c r="E48" s="387">
        <f>'Product Details'!E48</f>
        <v>0</v>
      </c>
      <c r="F48" s="88"/>
      <c r="G48" s="86"/>
      <c r="H48" s="89"/>
      <c r="I48" s="88"/>
      <c r="J48" s="89"/>
      <c r="K48" s="380"/>
      <c r="L48" s="90"/>
      <c r="M48" s="91"/>
      <c r="N48" s="378"/>
      <c r="O48" s="92"/>
    </row>
    <row r="49" spans="2:15" ht="60" customHeight="1" x14ac:dyDescent="0.35">
      <c r="B49" s="317">
        <f>'Product Details'!B49</f>
        <v>0</v>
      </c>
      <c r="C49" s="318">
        <f>'Product Details'!C49</f>
        <v>0</v>
      </c>
      <c r="D49" s="84"/>
      <c r="E49" s="387">
        <f>'Product Details'!E49</f>
        <v>0</v>
      </c>
      <c r="F49" s="88"/>
      <c r="G49" s="86"/>
      <c r="H49" s="89"/>
      <c r="I49" s="88"/>
      <c r="J49" s="89"/>
      <c r="K49" s="380"/>
      <c r="L49" s="90"/>
      <c r="M49" s="91"/>
      <c r="N49" s="378"/>
      <c r="O49" s="92"/>
    </row>
    <row r="50" spans="2:15" ht="60" customHeight="1" x14ac:dyDescent="0.35">
      <c r="B50" s="317">
        <f>'Product Details'!B50</f>
        <v>0</v>
      </c>
      <c r="C50" s="318">
        <f>'Product Details'!C50</f>
        <v>0</v>
      </c>
      <c r="D50" s="84"/>
      <c r="E50" s="387">
        <f>'Product Details'!E50</f>
        <v>0</v>
      </c>
      <c r="F50" s="88"/>
      <c r="G50" s="86"/>
      <c r="H50" s="89"/>
      <c r="I50" s="88"/>
      <c r="J50" s="89"/>
      <c r="K50" s="380"/>
      <c r="L50" s="90"/>
      <c r="M50" s="91"/>
      <c r="N50" s="378"/>
      <c r="O50" s="92"/>
    </row>
    <row r="51" spans="2:15" ht="60" customHeight="1" x14ac:dyDescent="0.35">
      <c r="B51" s="317">
        <f>'Product Details'!B51</f>
        <v>0</v>
      </c>
      <c r="C51" s="318">
        <f>'Product Details'!C51</f>
        <v>0</v>
      </c>
      <c r="D51" s="84"/>
      <c r="E51" s="387">
        <f>'Product Details'!E51</f>
        <v>0</v>
      </c>
      <c r="F51" s="88"/>
      <c r="G51" s="86"/>
      <c r="H51" s="89"/>
      <c r="I51" s="88"/>
      <c r="J51" s="89"/>
      <c r="K51" s="380"/>
      <c r="L51" s="90"/>
      <c r="M51" s="91"/>
      <c r="N51" s="378"/>
      <c r="O51" s="92"/>
    </row>
    <row r="52" spans="2:15" ht="60" customHeight="1" x14ac:dyDescent="0.35">
      <c r="B52" s="317">
        <f>'Product Details'!B52</f>
        <v>0</v>
      </c>
      <c r="C52" s="318">
        <f>'Product Details'!C52</f>
        <v>0</v>
      </c>
      <c r="D52" s="376"/>
      <c r="E52" s="388">
        <f>'Product Details'!E52</f>
        <v>0</v>
      </c>
      <c r="F52" s="390"/>
      <c r="G52" s="391"/>
      <c r="H52" s="392"/>
      <c r="I52" s="390"/>
      <c r="J52" s="392"/>
      <c r="K52" s="393"/>
      <c r="L52" s="390"/>
      <c r="M52" s="392"/>
      <c r="N52" s="390"/>
      <c r="O52" s="392"/>
    </row>
    <row r="53" spans="2:15" ht="60" customHeight="1" x14ac:dyDescent="0.35">
      <c r="B53" s="317">
        <f>'Product Details'!B53</f>
        <v>0</v>
      </c>
      <c r="C53" s="318">
        <f>'Product Details'!C53</f>
        <v>0</v>
      </c>
      <c r="D53" s="376"/>
      <c r="E53" s="388">
        <f>'Product Details'!E53</f>
        <v>0</v>
      </c>
      <c r="F53" s="390"/>
      <c r="G53" s="391"/>
      <c r="H53" s="392"/>
      <c r="I53" s="390"/>
      <c r="J53" s="392"/>
      <c r="K53" s="393"/>
      <c r="L53" s="390"/>
      <c r="M53" s="392"/>
      <c r="N53" s="390"/>
      <c r="O53" s="392"/>
    </row>
    <row r="54" spans="2:15" ht="60" customHeight="1" x14ac:dyDescent="0.35">
      <c r="B54" s="317">
        <f>'Product Details'!B54</f>
        <v>0</v>
      </c>
      <c r="C54" s="318">
        <f>'Product Details'!C54</f>
        <v>0</v>
      </c>
      <c r="D54" s="376"/>
      <c r="E54" s="388">
        <f>'Product Details'!E54</f>
        <v>0</v>
      </c>
      <c r="F54" s="390"/>
      <c r="G54" s="391"/>
      <c r="H54" s="392"/>
      <c r="I54" s="390"/>
      <c r="J54" s="392"/>
      <c r="K54" s="393"/>
      <c r="L54" s="390"/>
      <c r="M54" s="392"/>
      <c r="N54" s="390"/>
      <c r="O54" s="392"/>
    </row>
    <row r="55" spans="2:15" ht="60" customHeight="1" x14ac:dyDescent="0.35">
      <c r="B55" s="317">
        <f>'Product Details'!B55</f>
        <v>0</v>
      </c>
      <c r="C55" s="318">
        <f>'Product Details'!C55</f>
        <v>0</v>
      </c>
      <c r="D55" s="376"/>
      <c r="E55" s="388">
        <f>'Product Details'!E55</f>
        <v>0</v>
      </c>
      <c r="F55" s="390"/>
      <c r="G55" s="391"/>
      <c r="H55" s="392"/>
      <c r="I55" s="390"/>
      <c r="J55" s="392"/>
      <c r="K55" s="393"/>
      <c r="L55" s="390"/>
      <c r="M55" s="392"/>
      <c r="N55" s="390"/>
      <c r="O55" s="392"/>
    </row>
    <row r="56" spans="2:15" ht="60" customHeight="1" x14ac:dyDescent="0.35">
      <c r="B56" s="317">
        <f>'Product Details'!B56</f>
        <v>0</v>
      </c>
      <c r="C56" s="318">
        <f>'Product Details'!C56</f>
        <v>0</v>
      </c>
      <c r="D56" s="376"/>
      <c r="E56" s="388">
        <f>'Product Details'!E56</f>
        <v>0</v>
      </c>
      <c r="F56" s="390"/>
      <c r="G56" s="391"/>
      <c r="H56" s="392"/>
      <c r="I56" s="390"/>
      <c r="J56" s="392"/>
      <c r="K56" s="393"/>
      <c r="L56" s="390"/>
      <c r="M56" s="392"/>
      <c r="N56" s="390"/>
      <c r="O56" s="392"/>
    </row>
    <row r="57" spans="2:15" ht="60" customHeight="1" x14ac:dyDescent="0.35">
      <c r="B57" s="317">
        <f>'Product Details'!B57</f>
        <v>0</v>
      </c>
      <c r="C57" s="318">
        <f>'Product Details'!C57</f>
        <v>0</v>
      </c>
      <c r="D57" s="376"/>
      <c r="E57" s="388">
        <f>'Product Details'!E57</f>
        <v>0</v>
      </c>
      <c r="F57" s="390"/>
      <c r="G57" s="391"/>
      <c r="H57" s="392"/>
      <c r="I57" s="390"/>
      <c r="J57" s="392"/>
      <c r="K57" s="393"/>
      <c r="L57" s="390"/>
      <c r="M57" s="392"/>
      <c r="N57" s="390"/>
      <c r="O57" s="392"/>
    </row>
    <row r="58" spans="2:15" ht="60" customHeight="1" x14ac:dyDescent="0.35">
      <c r="B58" s="317">
        <f>'Product Details'!B58</f>
        <v>0</v>
      </c>
      <c r="C58" s="318">
        <f>'Product Details'!C58</f>
        <v>0</v>
      </c>
      <c r="D58" s="376"/>
      <c r="E58" s="388">
        <f>'Product Details'!E58</f>
        <v>0</v>
      </c>
      <c r="F58" s="390"/>
      <c r="G58" s="391"/>
      <c r="H58" s="392"/>
      <c r="I58" s="390"/>
      <c r="J58" s="392"/>
      <c r="K58" s="393"/>
      <c r="L58" s="390"/>
      <c r="M58" s="392"/>
      <c r="N58" s="390"/>
      <c r="O58" s="392"/>
    </row>
    <row r="59" spans="2:15" ht="60" customHeight="1" x14ac:dyDescent="0.35">
      <c r="B59" s="317">
        <f>'Product Details'!B59</f>
        <v>0</v>
      </c>
      <c r="C59" s="318">
        <f>'Product Details'!C59</f>
        <v>0</v>
      </c>
      <c r="D59" s="376"/>
      <c r="E59" s="388">
        <f>'Product Details'!E59</f>
        <v>0</v>
      </c>
      <c r="F59" s="390"/>
      <c r="G59" s="391"/>
      <c r="H59" s="392"/>
      <c r="I59" s="390"/>
      <c r="J59" s="392"/>
      <c r="K59" s="393"/>
      <c r="L59" s="390"/>
      <c r="M59" s="392"/>
      <c r="N59" s="390"/>
      <c r="O59" s="392"/>
    </row>
    <row r="60" spans="2:15" ht="60" customHeight="1" thickBot="1" x14ac:dyDescent="0.4">
      <c r="B60" s="338">
        <f>'Product Details'!B60</f>
        <v>0</v>
      </c>
      <c r="C60" s="339">
        <f>'Product Details'!C60</f>
        <v>0</v>
      </c>
      <c r="D60" s="382"/>
      <c r="E60" s="389">
        <f>'Product Details'!E60</f>
        <v>0</v>
      </c>
      <c r="F60" s="394"/>
      <c r="G60" s="395"/>
      <c r="H60" s="396"/>
      <c r="I60" s="394"/>
      <c r="J60" s="396"/>
      <c r="K60" s="397"/>
      <c r="L60" s="394"/>
      <c r="M60" s="396"/>
      <c r="N60" s="394"/>
      <c r="O60" s="396"/>
    </row>
    <row r="61" spans="2:15" ht="60" customHeight="1" x14ac:dyDescent="0.35"/>
    <row r="62" spans="2:15" ht="60" customHeight="1" x14ac:dyDescent="0.35"/>
    <row r="63" spans="2:15" ht="60" customHeight="1" x14ac:dyDescent="0.35"/>
    <row r="64" spans="2:15" ht="60" customHeight="1" x14ac:dyDescent="0.35"/>
    <row r="65" ht="60" customHeight="1" x14ac:dyDescent="0.35"/>
    <row r="66" ht="60" customHeight="1" x14ac:dyDescent="0.35"/>
    <row r="67" ht="60" customHeight="1" x14ac:dyDescent="0.35"/>
    <row r="68" ht="60" customHeight="1" x14ac:dyDescent="0.35"/>
    <row r="69" ht="60" customHeight="1" x14ac:dyDescent="0.35"/>
    <row r="70" ht="60" customHeight="1" x14ac:dyDescent="0.35"/>
    <row r="71" ht="60" customHeight="1" x14ac:dyDescent="0.35"/>
    <row r="72" ht="60" customHeight="1" x14ac:dyDescent="0.35"/>
    <row r="73" ht="60" customHeight="1" x14ac:dyDescent="0.35"/>
    <row r="74" ht="60" customHeight="1" x14ac:dyDescent="0.35"/>
    <row r="75" ht="60" customHeight="1" x14ac:dyDescent="0.35"/>
    <row r="76" ht="60" customHeight="1" x14ac:dyDescent="0.35"/>
    <row r="77" ht="60" customHeight="1" x14ac:dyDescent="0.35"/>
    <row r="78" ht="60" customHeight="1" x14ac:dyDescent="0.35"/>
    <row r="79" ht="60" customHeight="1" x14ac:dyDescent="0.35"/>
    <row r="80" ht="60" customHeight="1" x14ac:dyDescent="0.35"/>
    <row r="81" ht="60" customHeight="1" x14ac:dyDescent="0.35"/>
    <row r="82" ht="60" customHeight="1" x14ac:dyDescent="0.35"/>
    <row r="83" ht="60" customHeight="1" x14ac:dyDescent="0.35"/>
    <row r="84" ht="60" customHeight="1" x14ac:dyDescent="0.35"/>
    <row r="85" ht="60" customHeight="1" x14ac:dyDescent="0.35"/>
    <row r="86" ht="60" customHeight="1" x14ac:dyDescent="0.35"/>
    <row r="87" ht="60" customHeight="1" x14ac:dyDescent="0.35"/>
    <row r="88" ht="60" customHeight="1" x14ac:dyDescent="0.35"/>
    <row r="89" ht="60" customHeight="1" x14ac:dyDescent="0.35"/>
    <row r="90" ht="60" customHeight="1" x14ac:dyDescent="0.35"/>
    <row r="91" ht="60" customHeight="1" x14ac:dyDescent="0.35"/>
    <row r="92" ht="60" customHeight="1" x14ac:dyDescent="0.35"/>
    <row r="93" ht="60" customHeight="1" x14ac:dyDescent="0.35"/>
    <row r="94" ht="60" customHeight="1" x14ac:dyDescent="0.35"/>
    <row r="95" ht="60" customHeight="1" x14ac:dyDescent="0.35"/>
    <row r="96" ht="60" customHeight="1" x14ac:dyDescent="0.35"/>
    <row r="97" ht="60" customHeight="1" x14ac:dyDescent="0.35"/>
    <row r="98" ht="60" customHeight="1" x14ac:dyDescent="0.35"/>
    <row r="99" ht="60" customHeight="1" x14ac:dyDescent="0.35"/>
    <row r="100" ht="60" customHeight="1" x14ac:dyDescent="0.35"/>
    <row r="101" ht="60" customHeight="1" x14ac:dyDescent="0.35"/>
    <row r="102" ht="60" customHeight="1" x14ac:dyDescent="0.35"/>
    <row r="103" ht="60" customHeight="1" x14ac:dyDescent="0.35"/>
    <row r="104" ht="60" customHeight="1" x14ac:dyDescent="0.35"/>
    <row r="105" ht="60" customHeight="1" x14ac:dyDescent="0.35"/>
    <row r="106" ht="60" customHeight="1" x14ac:dyDescent="0.35"/>
    <row r="107" ht="60" customHeight="1" x14ac:dyDescent="0.35"/>
    <row r="108" ht="60" customHeight="1" x14ac:dyDescent="0.35"/>
    <row r="109" ht="60" customHeight="1" x14ac:dyDescent="0.35"/>
    <row r="110" ht="60" customHeight="1" x14ac:dyDescent="0.35"/>
    <row r="111" ht="60" customHeight="1" x14ac:dyDescent="0.35"/>
    <row r="112" ht="60" customHeight="1" x14ac:dyDescent="0.35"/>
    <row r="113" ht="60" customHeight="1" x14ac:dyDescent="0.35"/>
    <row r="114" ht="60" customHeight="1" x14ac:dyDescent="0.35"/>
    <row r="115" ht="60" customHeight="1" x14ac:dyDescent="0.35"/>
    <row r="116" ht="60" customHeight="1" x14ac:dyDescent="0.35"/>
    <row r="117" ht="60" customHeight="1" x14ac:dyDescent="0.35"/>
    <row r="118" ht="60" customHeight="1" x14ac:dyDescent="0.35"/>
    <row r="119" ht="60" customHeight="1" x14ac:dyDescent="0.35"/>
    <row r="120" ht="60" customHeight="1" x14ac:dyDescent="0.35"/>
    <row r="121" ht="60" customHeight="1" x14ac:dyDescent="0.35"/>
    <row r="122" ht="60" customHeight="1" x14ac:dyDescent="0.35"/>
    <row r="123" ht="60" customHeight="1" x14ac:dyDescent="0.35"/>
    <row r="124" ht="60" customHeight="1" x14ac:dyDescent="0.35"/>
    <row r="125" ht="60" customHeight="1" x14ac:dyDescent="0.35"/>
    <row r="126" ht="60" customHeight="1" x14ac:dyDescent="0.35"/>
    <row r="127" ht="60" customHeight="1" x14ac:dyDescent="0.35"/>
    <row r="128" ht="60" customHeight="1" x14ac:dyDescent="0.35"/>
    <row r="129" ht="60" customHeight="1" x14ac:dyDescent="0.35"/>
  </sheetData>
  <sheetProtection algorithmName="SHA-512" hashValue="R/Gh/NJ4DzMzM0blpJQQDdtO5GzxbYJ4kDCKMNVzNMxqmY4M68j8+kqw/g69936AOXVHGAaDCsoJODziZwvTkA==" saltValue="PjMVQoG6kwtQte95K5byQQ==" spinCount="100000" sheet="1" formatCells="0" formatColumns="0" formatRows="0" insertRows="0"/>
  <mergeCells count="6">
    <mergeCell ref="B7:E8"/>
    <mergeCell ref="N7:O8"/>
    <mergeCell ref="I8:J8"/>
    <mergeCell ref="L8:M8"/>
    <mergeCell ref="I7:M7"/>
    <mergeCell ref="F7:H8"/>
  </mergeCells>
  <pageMargins left="0.7" right="0.7" top="0.75" bottom="0.75" header="0.3" footer="0.3"/>
  <pageSetup scale="34" fitToHeight="0" orientation="landscape" horizontalDpi="200" verticalDpi="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DE57D-3B32-427A-B8D1-31913477FB7E}">
  <sheetPr>
    <pageSetUpPr fitToPage="1"/>
  </sheetPr>
  <dimension ref="B1:F34"/>
  <sheetViews>
    <sheetView showGridLines="0" showRuler="0" zoomScale="80" zoomScaleNormal="80" zoomScalePageLayoutView="80" workbookViewId="0">
      <selection activeCell="F14" sqref="F14"/>
    </sheetView>
  </sheetViews>
  <sheetFormatPr defaultColWidth="24.109375" defaultRowHeight="13.8" x14ac:dyDescent="0.3"/>
  <cols>
    <col min="1" max="1" width="3.33203125" style="93" customWidth="1"/>
    <col min="2" max="3" width="24.109375" style="93"/>
    <col min="4" max="4" width="65.88671875" style="93" customWidth="1"/>
    <col min="5" max="5" width="24.109375" style="93"/>
    <col min="6" max="6" width="65.88671875" style="93" customWidth="1"/>
    <col min="7" max="7" width="1.44140625" style="93" customWidth="1"/>
    <col min="8" max="16384" width="24.109375" style="93"/>
  </cols>
  <sheetData>
    <row r="1" spans="2:6" ht="34.5" customHeight="1" x14ac:dyDescent="0.3"/>
    <row r="2" spans="2:6" ht="23.1" customHeight="1" x14ac:dyDescent="0.3">
      <c r="B2" s="571" t="s">
        <v>156</v>
      </c>
      <c r="C2" s="571"/>
      <c r="D2" s="571"/>
      <c r="E2" s="571"/>
      <c r="F2" s="571"/>
    </row>
    <row r="3" spans="2:6" ht="23.1" customHeight="1" x14ac:dyDescent="0.3"/>
    <row r="4" spans="2:6" ht="11.4" customHeight="1" thickBot="1" x14ac:dyDescent="0.35"/>
    <row r="5" spans="2:6" ht="30" customHeight="1" thickBot="1" x14ac:dyDescent="0.35">
      <c r="B5" s="94" t="s">
        <v>157</v>
      </c>
      <c r="C5" s="94" t="s">
        <v>158</v>
      </c>
      <c r="D5" s="94" t="s">
        <v>159</v>
      </c>
      <c r="E5" s="94" t="s">
        <v>160</v>
      </c>
      <c r="F5" s="95" t="s">
        <v>161</v>
      </c>
    </row>
    <row r="6" spans="2:6" ht="30" customHeight="1" x14ac:dyDescent="0.3">
      <c r="B6" s="96">
        <v>44774</v>
      </c>
      <c r="C6" s="97" t="s">
        <v>162</v>
      </c>
      <c r="D6" s="98"/>
      <c r="E6" s="97" t="s">
        <v>163</v>
      </c>
      <c r="F6" s="97"/>
    </row>
    <row r="7" spans="2:6" ht="30" customHeight="1" x14ac:dyDescent="0.3">
      <c r="B7" s="99">
        <v>45201</v>
      </c>
      <c r="C7" s="100" t="s">
        <v>84</v>
      </c>
      <c r="D7" s="101" t="s">
        <v>291</v>
      </c>
      <c r="E7" s="101" t="s">
        <v>167</v>
      </c>
      <c r="F7" s="100" t="s">
        <v>168</v>
      </c>
    </row>
    <row r="8" spans="2:6" ht="55.2" x14ac:dyDescent="0.3">
      <c r="B8" s="99">
        <v>45299</v>
      </c>
      <c r="C8" s="100" t="s">
        <v>255</v>
      </c>
      <c r="D8" s="101" t="s">
        <v>290</v>
      </c>
      <c r="E8" s="100" t="s">
        <v>256</v>
      </c>
      <c r="F8" s="100" t="s">
        <v>257</v>
      </c>
    </row>
    <row r="9" spans="2:6" ht="77.25" customHeight="1" x14ac:dyDescent="0.3">
      <c r="B9" s="99">
        <v>45377</v>
      </c>
      <c r="C9" s="100" t="s">
        <v>255</v>
      </c>
      <c r="D9" s="101" t="s">
        <v>343</v>
      </c>
      <c r="E9" s="100" t="s">
        <v>256</v>
      </c>
      <c r="F9" s="100"/>
    </row>
    <row r="10" spans="2:6" ht="36" customHeight="1" x14ac:dyDescent="0.3">
      <c r="B10" s="99">
        <v>45377</v>
      </c>
      <c r="C10" s="100" t="s">
        <v>352</v>
      </c>
      <c r="D10" s="100" t="s">
        <v>292</v>
      </c>
      <c r="E10" s="100" t="s">
        <v>256</v>
      </c>
      <c r="F10" s="100"/>
    </row>
    <row r="11" spans="2:6" ht="30" customHeight="1" x14ac:dyDescent="0.3">
      <c r="B11" s="99">
        <v>45377</v>
      </c>
      <c r="C11" s="100" t="s">
        <v>293</v>
      </c>
      <c r="D11" s="100" t="s">
        <v>292</v>
      </c>
      <c r="E11" s="100" t="s">
        <v>256</v>
      </c>
      <c r="F11" s="100"/>
    </row>
    <row r="12" spans="2:6" ht="30" customHeight="1" x14ac:dyDescent="0.3">
      <c r="B12" s="99">
        <v>45377</v>
      </c>
      <c r="C12" s="100" t="s">
        <v>294</v>
      </c>
      <c r="D12" s="100" t="s">
        <v>292</v>
      </c>
      <c r="E12" s="100" t="s">
        <v>256</v>
      </c>
      <c r="F12" s="100"/>
    </row>
    <row r="13" spans="2:6" ht="30" customHeight="1" x14ac:dyDescent="0.3">
      <c r="B13" s="99">
        <v>45377</v>
      </c>
      <c r="C13" s="100" t="s">
        <v>84</v>
      </c>
      <c r="D13" s="100" t="s">
        <v>353</v>
      </c>
      <c r="E13" s="100" t="s">
        <v>256</v>
      </c>
      <c r="F13" s="100"/>
    </row>
    <row r="14" spans="2:6" ht="30" customHeight="1" x14ac:dyDescent="0.3">
      <c r="B14" s="99">
        <v>45377</v>
      </c>
      <c r="C14" s="100" t="s">
        <v>344</v>
      </c>
      <c r="D14" s="100" t="s">
        <v>345</v>
      </c>
      <c r="E14" s="100" t="s">
        <v>256</v>
      </c>
      <c r="F14" s="100"/>
    </row>
    <row r="15" spans="2:6" ht="30" customHeight="1" x14ac:dyDescent="0.3">
      <c r="B15" s="99">
        <v>45378</v>
      </c>
      <c r="C15" s="100" t="s">
        <v>255</v>
      </c>
      <c r="D15" s="100" t="s">
        <v>351</v>
      </c>
      <c r="E15" s="100" t="s">
        <v>256</v>
      </c>
      <c r="F15" s="100"/>
    </row>
    <row r="16" spans="2:6" ht="30" customHeight="1" x14ac:dyDescent="0.3">
      <c r="B16" s="99">
        <v>45576</v>
      </c>
      <c r="C16" s="100" t="s">
        <v>255</v>
      </c>
      <c r="D16" s="100" t="s">
        <v>389</v>
      </c>
      <c r="E16" s="100" t="s">
        <v>256</v>
      </c>
      <c r="F16" s="100"/>
    </row>
    <row r="17" spans="2:6" ht="30" customHeight="1" x14ac:dyDescent="0.3">
      <c r="B17" s="100"/>
      <c r="C17" s="100"/>
      <c r="D17" s="100"/>
      <c r="E17" s="100"/>
      <c r="F17" s="100"/>
    </row>
    <row r="18" spans="2:6" ht="30" customHeight="1" x14ac:dyDescent="0.3">
      <c r="B18" s="101"/>
      <c r="C18" s="100"/>
      <c r="D18" s="100"/>
      <c r="E18" s="100"/>
      <c r="F18" s="100"/>
    </row>
    <row r="19" spans="2:6" ht="30" customHeight="1" x14ac:dyDescent="0.3">
      <c r="B19" s="100"/>
      <c r="C19" s="100"/>
      <c r="D19" s="100"/>
      <c r="E19" s="100"/>
      <c r="F19" s="100"/>
    </row>
    <row r="20" spans="2:6" ht="30" customHeight="1" x14ac:dyDescent="0.3">
      <c r="B20" s="100"/>
      <c r="C20" s="100"/>
      <c r="D20" s="100"/>
      <c r="E20" s="100"/>
      <c r="F20" s="100"/>
    </row>
    <row r="21" spans="2:6" ht="30" customHeight="1" x14ac:dyDescent="0.3">
      <c r="B21" s="100"/>
      <c r="C21" s="100"/>
      <c r="D21" s="100"/>
      <c r="E21" s="100"/>
      <c r="F21" s="100"/>
    </row>
    <row r="22" spans="2:6" ht="30" customHeight="1" x14ac:dyDescent="0.3">
      <c r="B22" s="100"/>
      <c r="C22" s="100"/>
      <c r="D22" s="100"/>
      <c r="E22" s="100"/>
      <c r="F22" s="100"/>
    </row>
    <row r="23" spans="2:6" ht="30" customHeight="1" x14ac:dyDescent="0.3">
      <c r="B23" s="100"/>
      <c r="C23" s="100"/>
      <c r="D23" s="100"/>
      <c r="E23" s="100"/>
      <c r="F23" s="100"/>
    </row>
    <row r="24" spans="2:6" ht="30" customHeight="1" x14ac:dyDescent="0.3">
      <c r="B24" s="100"/>
      <c r="C24" s="100"/>
      <c r="D24" s="100"/>
      <c r="E24" s="100"/>
      <c r="F24" s="100"/>
    </row>
    <row r="25" spans="2:6" ht="30" customHeight="1" x14ac:dyDescent="0.3">
      <c r="B25" s="100"/>
      <c r="C25" s="100"/>
      <c r="D25" s="100"/>
      <c r="E25" s="100"/>
      <c r="F25" s="100"/>
    </row>
    <row r="26" spans="2:6" ht="30" customHeight="1" x14ac:dyDescent="0.3">
      <c r="B26" s="100"/>
      <c r="C26" s="100"/>
      <c r="D26" s="100"/>
      <c r="E26" s="100"/>
      <c r="F26" s="100"/>
    </row>
    <row r="27" spans="2:6" ht="30" customHeight="1" x14ac:dyDescent="0.3">
      <c r="B27" s="100"/>
      <c r="C27" s="100"/>
      <c r="D27" s="100"/>
      <c r="E27" s="100"/>
      <c r="F27" s="100"/>
    </row>
    <row r="28" spans="2:6" ht="30" customHeight="1" x14ac:dyDescent="0.3">
      <c r="B28" s="100"/>
      <c r="C28" s="100"/>
      <c r="D28" s="100"/>
      <c r="E28" s="100"/>
      <c r="F28" s="100"/>
    </row>
    <row r="29" spans="2:6" ht="30" customHeight="1" x14ac:dyDescent="0.3">
      <c r="B29" s="100"/>
      <c r="C29" s="100"/>
      <c r="D29" s="100"/>
      <c r="E29" s="100"/>
      <c r="F29" s="100"/>
    </row>
    <row r="30" spans="2:6" ht="30" customHeight="1" x14ac:dyDescent="0.3">
      <c r="B30" s="100"/>
      <c r="C30" s="100"/>
      <c r="D30" s="100"/>
      <c r="E30" s="100"/>
      <c r="F30" s="100"/>
    </row>
    <row r="31" spans="2:6" ht="30" customHeight="1" x14ac:dyDescent="0.3">
      <c r="B31" s="100"/>
      <c r="C31" s="100"/>
      <c r="D31" s="100"/>
      <c r="E31" s="100"/>
      <c r="F31" s="100"/>
    </row>
    <row r="32" spans="2:6" ht="30" customHeight="1" x14ac:dyDescent="0.3">
      <c r="B32" s="100"/>
      <c r="C32" s="100"/>
      <c r="D32" s="100"/>
      <c r="E32" s="100"/>
      <c r="F32" s="100"/>
    </row>
    <row r="33" spans="2:6" ht="30" customHeight="1" x14ac:dyDescent="0.3">
      <c r="B33" s="100"/>
      <c r="C33" s="100"/>
      <c r="D33" s="100"/>
      <c r="E33" s="100"/>
      <c r="F33" s="100"/>
    </row>
    <row r="34" spans="2:6" ht="30" customHeight="1" x14ac:dyDescent="0.3">
      <c r="B34" s="100"/>
      <c r="C34" s="100"/>
      <c r="D34" s="100"/>
      <c r="E34" s="100"/>
      <c r="F34" s="100"/>
    </row>
  </sheetData>
  <sheetProtection algorithmName="SHA-512" hashValue="ONann5AhPWMHCJc7+bvp/hVz9s9Da14Rh7WSNSV4kVadGohmIHD+IWcZcBSFEWt/J2iZSeD2a/NEW51Stdt/KA==" saltValue="+YcpTV4dcr5Qen2nH1YHSQ==" spinCount="100000" sheet="1" objects="1" scenarios="1"/>
  <mergeCells count="1">
    <mergeCell ref="B2:F2"/>
  </mergeCells>
  <dataValidations count="1">
    <dataValidation type="textLength" operator="lessThan" allowBlank="1" showInputMessage="1" showErrorMessage="1" sqref="B1:F5" xr:uid="{BC36C8AC-6192-425D-B674-5ACF794E070D}">
      <formula1>0</formula1>
    </dataValidation>
  </dataValidations>
  <pageMargins left="0.7" right="0.7" top="0.75" bottom="0.75" header="0.3" footer="0.3"/>
  <pageSetup scale="48" orientation="landscape" horizontalDpi="200" verticalDpi="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M46"/>
  <sheetViews>
    <sheetView topLeftCell="A26" workbookViewId="0">
      <selection activeCell="G44" sqref="G44:G46"/>
    </sheetView>
  </sheetViews>
  <sheetFormatPr defaultColWidth="4.44140625" defaultRowHeight="14.4" x14ac:dyDescent="0.3"/>
  <cols>
    <col min="1" max="1" width="59.33203125" bestFit="1" customWidth="1"/>
    <col min="2" max="2" width="4.44140625" customWidth="1"/>
    <col min="3" max="3" width="60.109375" bestFit="1" customWidth="1"/>
    <col min="4" max="4" width="4.44140625" customWidth="1"/>
    <col min="5" max="5" width="53" bestFit="1" customWidth="1"/>
    <col min="6" max="6" width="4.44140625" customWidth="1"/>
    <col min="7" max="7" width="37.77734375" customWidth="1"/>
    <col min="8" max="8" width="4.44140625" customWidth="1"/>
    <col min="9" max="9" width="32.33203125" customWidth="1"/>
    <col min="10" max="11" width="4.44140625" customWidth="1"/>
  </cols>
  <sheetData>
    <row r="1" spans="1:13" x14ac:dyDescent="0.3">
      <c r="A1" s="1" t="s">
        <v>24</v>
      </c>
      <c r="C1" s="1" t="s">
        <v>25</v>
      </c>
      <c r="E1" s="2" t="s">
        <v>26</v>
      </c>
      <c r="G1" s="1" t="s">
        <v>27</v>
      </c>
      <c r="I1" s="1" t="s">
        <v>28</v>
      </c>
      <c r="M1" t="s">
        <v>29</v>
      </c>
    </row>
    <row r="2" spans="1:13" x14ac:dyDescent="0.3">
      <c r="A2" s="3" t="s">
        <v>30</v>
      </c>
      <c r="C2" s="3" t="s">
        <v>31</v>
      </c>
      <c r="E2" t="s">
        <v>32</v>
      </c>
      <c r="G2" s="3" t="s">
        <v>182</v>
      </c>
      <c r="I2" t="s">
        <v>33</v>
      </c>
      <c r="M2" t="s">
        <v>34</v>
      </c>
    </row>
    <row r="3" spans="1:13" x14ac:dyDescent="0.3">
      <c r="A3" s="3" t="s">
        <v>35</v>
      </c>
      <c r="C3" s="3" t="s">
        <v>36</v>
      </c>
      <c r="E3" t="s">
        <v>37</v>
      </c>
      <c r="G3" s="3" t="s">
        <v>183</v>
      </c>
      <c r="I3" s="3" t="s">
        <v>38</v>
      </c>
      <c r="M3" t="s">
        <v>39</v>
      </c>
    </row>
    <row r="4" spans="1:13" x14ac:dyDescent="0.3">
      <c r="A4" s="3" t="s">
        <v>40</v>
      </c>
      <c r="C4" s="3" t="s">
        <v>41</v>
      </c>
      <c r="E4" t="s">
        <v>42</v>
      </c>
      <c r="G4" s="3" t="s">
        <v>43</v>
      </c>
      <c r="I4" s="3" t="s">
        <v>44</v>
      </c>
      <c r="M4" t="s">
        <v>45</v>
      </c>
    </row>
    <row r="5" spans="1:13" x14ac:dyDescent="0.3">
      <c r="C5" s="3" t="s">
        <v>46</v>
      </c>
      <c r="E5" t="s">
        <v>47</v>
      </c>
      <c r="I5" s="3" t="s">
        <v>48</v>
      </c>
    </row>
    <row r="6" spans="1:13" x14ac:dyDescent="0.3">
      <c r="C6" s="3" t="s">
        <v>49</v>
      </c>
      <c r="E6" t="s">
        <v>50</v>
      </c>
      <c r="I6" t="s">
        <v>51</v>
      </c>
    </row>
    <row r="7" spans="1:13" x14ac:dyDescent="0.3">
      <c r="E7" t="s">
        <v>52</v>
      </c>
      <c r="I7" t="s">
        <v>181</v>
      </c>
    </row>
    <row r="8" spans="1:13" x14ac:dyDescent="0.3">
      <c r="E8" t="s">
        <v>53</v>
      </c>
      <c r="G8" s="1" t="s">
        <v>54</v>
      </c>
    </row>
    <row r="9" spans="1:13" x14ac:dyDescent="0.3">
      <c r="A9" t="s">
        <v>203</v>
      </c>
      <c r="E9" t="s">
        <v>55</v>
      </c>
      <c r="G9" s="3" t="s">
        <v>184</v>
      </c>
    </row>
    <row r="10" spans="1:13" x14ac:dyDescent="0.3">
      <c r="E10" t="s">
        <v>56</v>
      </c>
      <c r="G10" s="3" t="s">
        <v>185</v>
      </c>
    </row>
    <row r="11" spans="1:13" x14ac:dyDescent="0.3">
      <c r="A11" t="s">
        <v>145</v>
      </c>
      <c r="E11" t="s">
        <v>57</v>
      </c>
      <c r="G11" s="3" t="s">
        <v>43</v>
      </c>
    </row>
    <row r="12" spans="1:13" x14ac:dyDescent="0.3">
      <c r="A12" t="s">
        <v>146</v>
      </c>
      <c r="E12" t="s">
        <v>58</v>
      </c>
    </row>
    <row r="15" spans="1:13" s="47" customFormat="1" x14ac:dyDescent="0.3"/>
    <row r="16" spans="1:13" x14ac:dyDescent="0.3">
      <c r="A16" s="48" t="s">
        <v>236</v>
      </c>
      <c r="C16" s="48" t="s">
        <v>14</v>
      </c>
      <c r="E16" s="48" t="s">
        <v>232</v>
      </c>
      <c r="G16" s="48" t="s">
        <v>211</v>
      </c>
    </row>
    <row r="17" spans="1:7" x14ac:dyDescent="0.3">
      <c r="A17" s="48" t="s">
        <v>252</v>
      </c>
      <c r="C17" s="48" t="s">
        <v>169</v>
      </c>
      <c r="E17" s="48" t="s">
        <v>233</v>
      </c>
      <c r="G17" s="48" t="s">
        <v>212</v>
      </c>
    </row>
    <row r="18" spans="1:7" x14ac:dyDescent="0.3">
      <c r="A18" s="3"/>
      <c r="C18" s="3"/>
      <c r="E18" s="3"/>
      <c r="G18" s="3"/>
    </row>
    <row r="19" spans="1:7" x14ac:dyDescent="0.3">
      <c r="A19" s="3" t="s">
        <v>253</v>
      </c>
      <c r="C19" s="3" t="s">
        <v>170</v>
      </c>
      <c r="E19" s="3" t="s">
        <v>234</v>
      </c>
      <c r="G19" s="3" t="s">
        <v>145</v>
      </c>
    </row>
    <row r="20" spans="1:7" x14ac:dyDescent="0.3">
      <c r="A20" s="3" t="s">
        <v>250</v>
      </c>
      <c r="C20" s="3" t="s">
        <v>171</v>
      </c>
      <c r="E20" s="3" t="s">
        <v>235</v>
      </c>
      <c r="G20" s="3" t="s">
        <v>146</v>
      </c>
    </row>
    <row r="22" spans="1:7" x14ac:dyDescent="0.3">
      <c r="A22" s="48" t="s">
        <v>247</v>
      </c>
      <c r="C22" s="48" t="s">
        <v>172</v>
      </c>
      <c r="G22" s="48" t="s">
        <v>213</v>
      </c>
    </row>
    <row r="23" spans="1:7" x14ac:dyDescent="0.3">
      <c r="A23" s="3"/>
      <c r="C23" s="3"/>
      <c r="G23" s="3"/>
    </row>
    <row r="24" spans="1:7" x14ac:dyDescent="0.3">
      <c r="A24" s="3" t="s">
        <v>248</v>
      </c>
      <c r="C24" s="3" t="s">
        <v>173</v>
      </c>
      <c r="G24" s="3" t="s">
        <v>216</v>
      </c>
    </row>
    <row r="25" spans="1:7" x14ac:dyDescent="0.3">
      <c r="A25" s="3" t="s">
        <v>249</v>
      </c>
      <c r="C25" s="3" t="s">
        <v>174</v>
      </c>
      <c r="G25" s="3" t="s">
        <v>219</v>
      </c>
    </row>
    <row r="26" spans="1:7" x14ac:dyDescent="0.3">
      <c r="A26" s="3" t="s">
        <v>246</v>
      </c>
      <c r="C26" s="3" t="s">
        <v>175</v>
      </c>
      <c r="G26" s="3" t="s">
        <v>222</v>
      </c>
    </row>
    <row r="27" spans="1:7" x14ac:dyDescent="0.3">
      <c r="C27" s="3" t="s">
        <v>177</v>
      </c>
      <c r="G27" s="3" t="s">
        <v>224</v>
      </c>
    </row>
    <row r="28" spans="1:7" x14ac:dyDescent="0.3">
      <c r="A28" s="48" t="s">
        <v>239</v>
      </c>
      <c r="C28" s="3" t="s">
        <v>176</v>
      </c>
      <c r="G28" s="3" t="s">
        <v>225</v>
      </c>
    </row>
    <row r="29" spans="1:7" x14ac:dyDescent="0.3">
      <c r="A29" s="3"/>
      <c r="G29" s="3" t="s">
        <v>226</v>
      </c>
    </row>
    <row r="30" spans="1:7" x14ac:dyDescent="0.3">
      <c r="A30" s="3" t="s">
        <v>241</v>
      </c>
      <c r="C30" s="48" t="s">
        <v>197</v>
      </c>
      <c r="G30" s="3" t="s">
        <v>227</v>
      </c>
    </row>
    <row r="31" spans="1:7" x14ac:dyDescent="0.3">
      <c r="A31" s="3" t="s">
        <v>242</v>
      </c>
      <c r="C31" s="3"/>
      <c r="G31" s="3" t="s">
        <v>228</v>
      </c>
    </row>
    <row r="32" spans="1:7" x14ac:dyDescent="0.3">
      <c r="A32" s="3" t="s">
        <v>237</v>
      </c>
      <c r="C32" s="3" t="s">
        <v>198</v>
      </c>
      <c r="G32" s="3" t="s">
        <v>229</v>
      </c>
    </row>
    <row r="33" spans="1:7" x14ac:dyDescent="0.3">
      <c r="A33" s="3" t="s">
        <v>240</v>
      </c>
      <c r="C33" s="3" t="s">
        <v>199</v>
      </c>
      <c r="G33" s="3" t="s">
        <v>230</v>
      </c>
    </row>
    <row r="34" spans="1:7" x14ac:dyDescent="0.3">
      <c r="A34" s="3" t="s">
        <v>251</v>
      </c>
      <c r="C34" s="3" t="s">
        <v>200</v>
      </c>
      <c r="G34" s="3" t="s">
        <v>231</v>
      </c>
    </row>
    <row r="35" spans="1:7" x14ac:dyDescent="0.3">
      <c r="C35" s="3" t="s">
        <v>201</v>
      </c>
      <c r="G35" s="3" t="s">
        <v>176</v>
      </c>
    </row>
    <row r="36" spans="1:7" x14ac:dyDescent="0.3">
      <c r="A36" s="48" t="s">
        <v>243</v>
      </c>
    </row>
    <row r="37" spans="1:7" x14ac:dyDescent="0.3">
      <c r="A37" s="3"/>
      <c r="G37" s="48" t="s">
        <v>214</v>
      </c>
    </row>
    <row r="38" spans="1:7" x14ac:dyDescent="0.3">
      <c r="A38" s="3" t="s">
        <v>244</v>
      </c>
      <c r="G38" s="3"/>
    </row>
    <row r="39" spans="1:7" x14ac:dyDescent="0.3">
      <c r="A39" s="3" t="s">
        <v>245</v>
      </c>
      <c r="G39" s="3" t="s">
        <v>217</v>
      </c>
    </row>
    <row r="40" spans="1:7" x14ac:dyDescent="0.3">
      <c r="A40" s="3" t="s">
        <v>246</v>
      </c>
      <c r="G40" s="3" t="s">
        <v>220</v>
      </c>
    </row>
    <row r="42" spans="1:7" x14ac:dyDescent="0.3">
      <c r="A42" s="48" t="s">
        <v>238</v>
      </c>
      <c r="G42" s="48" t="s">
        <v>215</v>
      </c>
    </row>
    <row r="43" spans="1:7" x14ac:dyDescent="0.3">
      <c r="A43" s="3"/>
      <c r="G43" s="3"/>
    </row>
    <row r="44" spans="1:7" x14ac:dyDescent="0.3">
      <c r="A44" s="3" t="s">
        <v>145</v>
      </c>
      <c r="G44" s="3" t="s">
        <v>218</v>
      </c>
    </row>
    <row r="45" spans="1:7" x14ac:dyDescent="0.3">
      <c r="A45" s="3" t="s">
        <v>146</v>
      </c>
      <c r="G45" s="3" t="s">
        <v>221</v>
      </c>
    </row>
    <row r="46" spans="1:7" x14ac:dyDescent="0.3">
      <c r="G46" s="3" t="s">
        <v>223</v>
      </c>
    </row>
  </sheetData>
  <sheetProtection algorithmName="SHA-512" hashValue="uSTXKpo6f/peiiwoUPA+fYTZDyKSLgt0xeKHzXvMwpjpNLjBtfxNAXIHfAnzncf0LkHuvuZB/krnZssbSN7Okg==" saltValue="pj8tMatwRamAL0Zwh3ig7w==" spinCount="100000" sheet="1" objects="1" scenarios="1"/>
  <pageMargins left="0.7" right="0.7" top="0.75" bottom="0.75" header="0.3" footer="0.3"/>
  <pageSetup orientation="portrait"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p:Policy xmlns:p="office.server.policy" id="" local="true">
  <p:Name>Document</p:Name>
  <p:Description/>
  <p:Statement/>
  <p:PolicyItems>
    <p:PolicyItem featureId="Microsoft.Office.RecordsManagement.PolicyFeatures.Expiration" staticId="0x01010041BD4C1B0E8935448DFEA93D61D94FDD|-990542427" UniqueId="04bac526-c9c7-4fbc-b24e-37b2b5c2f70d">
      <p:Name>Retention</p:Name>
      <p:Description>Automatic scheduling of content for processing, and performing a retention action on content that has reached its due date.</p:Description>
      <p:CustomData>
        <Schedules nextStageId="2">
          <Schedule type="Default">
            <stages>
              <data stageId="1">
                <formula id="Microsoft.Office.RecordsManagement.PolicyFeatures.Expiration.Formula.BuiltIn">
                  <number>20</number>
                  <property>Created</property>
                  <propertyId>8c06beca-0777-48f7-91c7-6da68bc07b69</propertyId>
                  <period>years</period>
                </formula>
                <action type="action" id="Microsoft.Office.RecordsManagement.PolicyFeatures.Expiration.Action.MoveToRecycleBin"/>
              </data>
            </stages>
          </Schedule>
        </Schedules>
      </p:CustomData>
    </p:PolicyItem>
  </p:PolicyItems>
</p:Policy>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jb48f58b262041f0be9dc0fcd50965ef xmlns="001ea367-13da-4b78-b962-34ea5925e6dd">
      <Terms xmlns="http://schemas.microsoft.com/office/infopath/2007/PartnerControls"/>
    </jb48f58b262041f0be9dc0fcd50965ef>
    <_ip_UnifiedCompliancePolicyProperties xmlns="http://schemas.microsoft.com/sharepoint/v3" xsi:nil="true"/>
    <TaxCatchAll xmlns="001ea367-13da-4b78-b962-34ea5925e6dd" xsi:nil="true"/>
    <TJXRetentionDate xmlns="001ea367-13da-4b78-b962-34ea5925e6dd">2024-02-07T05:00:00+00:00</TJXRetentionDate>
    <IconOverlay xmlns="http://schemas.microsoft.com/sharepoint/v4" xsi:nil="true"/>
    <lcf76f155ced4ddcb4097134ff3c332f xmlns="f50b0e66-8faf-4eb9-a012-75cc84509f36">
      <Terms xmlns="http://schemas.microsoft.com/office/infopath/2007/PartnerControls"/>
    </lcf76f155ced4ddcb4097134ff3c332f>
    <_dlc_ExpireDateSaved xmlns="http://schemas.microsoft.com/sharepoint/v3" xsi:nil="true"/>
    <_dlc_ExpireDate xmlns="http://schemas.microsoft.com/sharepoint/v3">2045-09-12T14:50:15+00:00</_dlc_ExpireDat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41BD4C1B0E8935448DFEA93D61D94FDD" ma:contentTypeVersion="30" ma:contentTypeDescription="Create a new document." ma:contentTypeScope="" ma:versionID="1d722623a4b38cb7996f484cda062d1a">
  <xsd:schema xmlns:xsd="http://www.w3.org/2001/XMLSchema" xmlns:xs="http://www.w3.org/2001/XMLSchema" xmlns:p="http://schemas.microsoft.com/office/2006/metadata/properties" xmlns:ns1="http://schemas.microsoft.com/sharepoint/v3" xmlns:ns2="001ea367-13da-4b78-b962-34ea5925e6dd" xmlns:ns3="f50b0e66-8faf-4eb9-a012-75cc84509f36" xmlns:ns4="54209590-ec8f-4b52-936c-b77523f5e657" xmlns:ns5="http://schemas.microsoft.com/sharepoint/v4" targetNamespace="http://schemas.microsoft.com/office/2006/metadata/properties" ma:root="true" ma:fieldsID="17d8614138c61b5f0ab56ed6a6a00c8a" ns1:_="" ns2:_="" ns3:_="" ns4:_="" ns5:_="">
    <xsd:import namespace="http://schemas.microsoft.com/sharepoint/v3"/>
    <xsd:import namespace="001ea367-13da-4b78-b962-34ea5925e6dd"/>
    <xsd:import namespace="f50b0e66-8faf-4eb9-a012-75cc84509f36"/>
    <xsd:import namespace="54209590-ec8f-4b52-936c-b77523f5e657"/>
    <xsd:import namespace="http://schemas.microsoft.com/sharepoint/v4"/>
    <xsd:element name="properties">
      <xsd:complexType>
        <xsd:sequence>
          <xsd:element name="documentManagement">
            <xsd:complexType>
              <xsd:all>
                <xsd:element ref="ns2:jb48f58b262041f0be9dc0fcd50965ef" minOccurs="0"/>
                <xsd:element ref="ns2:TaxCatchAll" minOccurs="0"/>
                <xsd:element ref="ns2:TJXRetentionDate"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element ref="ns3:MediaServiceLocation" minOccurs="0"/>
                <xsd:element ref="ns4:SharedWithUsers" minOccurs="0"/>
                <xsd:element ref="ns4:SharedWithDetails" minOccurs="0"/>
                <xsd:element ref="ns3:lcf76f155ced4ddcb4097134ff3c332f" minOccurs="0"/>
                <xsd:element ref="ns1:_dlc_Exempt" minOccurs="0"/>
                <xsd:element ref="ns1:_dlc_ExpireDateSaved" minOccurs="0"/>
                <xsd:element ref="ns1:_dlc_ExpireDate" minOccurs="0"/>
                <xsd:element ref="ns3:MediaServiceObjectDetectorVersions" minOccurs="0"/>
                <xsd:element ref="ns3:MediaServiceSearchProperties" minOccurs="0"/>
                <xsd:element ref="ns5: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element name="_dlc_Exempt" ma:index="28" nillable="true" ma:displayName="Exempt from Policy" ma:hidden="true" ma:internalName="_dlc_Exempt" ma:readOnly="true">
      <xsd:simpleType>
        <xsd:restriction base="dms:Unknown"/>
      </xsd:simpleType>
    </xsd:element>
    <xsd:element name="_dlc_ExpireDateSaved" ma:index="29" nillable="true" ma:displayName="Original Expiration Date" ma:hidden="true" ma:internalName="_dlc_ExpireDateSaved" ma:readOnly="true">
      <xsd:simpleType>
        <xsd:restriction base="dms:DateTime"/>
      </xsd:simpleType>
    </xsd:element>
    <xsd:element name="_dlc_ExpireDate" ma:index="30"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001ea367-13da-4b78-b962-34ea5925e6dd" elementFormDefault="qualified">
    <xsd:import namespace="http://schemas.microsoft.com/office/2006/documentManagement/types"/>
    <xsd:import namespace="http://schemas.microsoft.com/office/infopath/2007/PartnerControls"/>
    <xsd:element name="jb48f58b262041f0be9dc0fcd50965ef" ma:index="9" nillable="true" ma:taxonomy="true" ma:internalName="jb48f58b262041f0be9dc0fcd50965ef" ma:taxonomyFieldName="TJXRecordClass" ma:displayName="Record Class" ma:fieldId="{3b48f58b-2620-41f0-be9d-c0fcd50965ef}" ma:sspId="258ac5d0-53f0-4a95-8e16-b1f658a24c59" ma:termSetId="2c48e1bc-3ed5-4c28-9d05-4ec10a8805f3" ma:anchorId="00000000-0000-0000-0000-000000000000" ma:open="true" ma:isKeyword="false">
      <xsd:complexType>
        <xsd:sequence>
          <xsd:element ref="pc:Terms" minOccurs="0" maxOccurs="1"/>
        </xsd:sequence>
      </xsd:complexType>
    </xsd:element>
    <xsd:element name="TaxCatchAll" ma:index="10" nillable="true" ma:displayName="Taxonomy Catch All Column" ma:hidden="true" ma:list="{c6b84368-c440-4cc5-b279-4d1b54a11b2d}" ma:internalName="TaxCatchAll" ma:showField="CatchAllData" ma:web="54209590-ec8f-4b52-936c-b77523f5e657">
      <xsd:complexType>
        <xsd:complexContent>
          <xsd:extension base="dms:MultiChoiceLookup">
            <xsd:sequence>
              <xsd:element name="Value" type="dms:Lookup" maxOccurs="unbounded" minOccurs="0" nillable="true"/>
            </xsd:sequence>
          </xsd:extension>
        </xsd:complexContent>
      </xsd:complexType>
    </xsd:element>
    <xsd:element name="TJXRetentionDate" ma:index="11" nillable="true" ma:displayName="Expiry Date" ma:format="DateOnly" ma:internalName="TJXRetention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50b0e66-8faf-4eb9-a012-75cc84509f36"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ServiceLocation" ma:index="23" nillable="true" ma:displayName="Location" ma:internalName="MediaServiceLocation" ma:readOnly="true">
      <xsd:simpleType>
        <xsd:restriction base="dms:Text"/>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258ac5d0-53f0-4a95-8e16-b1f658a24c5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209590-ec8f-4b52-936c-b77523f5e657" elementFormDefault="qualified">
    <xsd:import namespace="http://schemas.microsoft.com/office/2006/documentManagement/types"/>
    <xsd:import namespace="http://schemas.microsoft.com/office/infopath/2007/PartnerControls"/>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3"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2E7BD-05D0-4BBC-8871-544FB0F05389}">
  <ds:schemaRefs>
    <ds:schemaRef ds:uri="office.server.policy"/>
    <ds:schemaRef ds:uri="http://www.w3.org/2000/xmlns/"/>
  </ds:schemaRefs>
</ds:datastoreItem>
</file>

<file path=customXml/itemProps2.xml><?xml version="1.0" encoding="utf-8"?>
<ds:datastoreItem xmlns:ds="http://schemas.openxmlformats.org/officeDocument/2006/customXml" ds:itemID="{E325C58D-1C31-41F4-B7BF-3E5D3520E982}">
  <ds:schemaRefs>
    <ds:schemaRef ds:uri="http://schemas.microsoft.com/sharepoint/v3/contenttype/forms"/>
  </ds:schemaRefs>
</ds:datastoreItem>
</file>

<file path=customXml/itemProps3.xml><?xml version="1.0" encoding="utf-8"?>
<ds:datastoreItem xmlns:ds="http://schemas.openxmlformats.org/officeDocument/2006/customXml" ds:itemID="{6F09B972-68F2-49D9-86B2-8DB914BD4867}">
  <ds:schemaRefs>
    <ds:schemaRef ds:uri="http://schemas.microsoft.com/office/2006/metadata/properties"/>
    <ds:schemaRef ds:uri="http://www.w3.org/2000/xmlns/"/>
    <ds:schemaRef ds:uri="http://schemas.microsoft.com/sharepoint/v3"/>
    <ds:schemaRef ds:uri="http://www.w3.org/2001/XMLSchema-instance"/>
    <ds:schemaRef ds:uri="001ea367-13da-4b78-b962-34ea5925e6dd"/>
    <ds:schemaRef ds:uri="http://schemas.microsoft.com/office/infopath/2007/PartnerControls"/>
    <ds:schemaRef ds:uri="http://schemas.microsoft.com/sharepoint/v4"/>
    <ds:schemaRef ds:uri="f50b0e66-8faf-4eb9-a012-75cc84509f36"/>
  </ds:schemaRefs>
</ds:datastoreItem>
</file>

<file path=customXml/itemProps4.xml><?xml version="1.0" encoding="utf-8"?>
<ds:datastoreItem xmlns:ds="http://schemas.openxmlformats.org/officeDocument/2006/customXml" ds:itemID="{577906E9-8B35-440D-9ED6-99789C3EE155}">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sharepoint/v3"/>
    <ds:schemaRef ds:uri="001ea367-13da-4b78-b962-34ea5925e6dd"/>
    <ds:schemaRef ds:uri="f50b0e66-8faf-4eb9-a012-75cc84509f36"/>
    <ds:schemaRef ds:uri="54209590-ec8f-4b52-936c-b77523f5e657"/>
    <ds:schemaRef ds:uri="http://schemas.microsoft.com/sharepoint/v4"/>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242945a-4ab9-4132-840e-cce1c66e31bb}" enabled="0" method="" siteId="{2242945a-4ab9-4132-840e-cce1c66e31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22</vt:i4>
      </vt:variant>
    </vt:vector>
  </HeadingPairs>
  <TitlesOfParts>
    <vt:vector size="31" baseType="lpstr">
      <vt:lpstr>Instructions</vt:lpstr>
      <vt:lpstr>Product Details</vt:lpstr>
      <vt:lpstr>Manufacturer Profile</vt:lpstr>
      <vt:lpstr>Animal Materials or Ingredients</vt:lpstr>
      <vt:lpstr>Wood and Plant Materials</vt:lpstr>
      <vt:lpstr>TSCA - Required, All Chemicals</vt:lpstr>
      <vt:lpstr>Candles (CN)</vt:lpstr>
      <vt:lpstr>Change Record</vt:lpstr>
      <vt:lpstr>Decor Dropdowns</vt:lpstr>
      <vt:lpstr>Diameter</vt:lpstr>
      <vt:lpstr>FWSDesc</vt:lpstr>
      <vt:lpstr>'Animal Materials or Ingredients'!FWSSource</vt:lpstr>
      <vt:lpstr>'Animal Materials or Ingredients'!FWSUoM</vt:lpstr>
      <vt:lpstr>glass1</vt:lpstr>
      <vt:lpstr>ManufacturerDropD</vt:lpstr>
      <vt:lpstr>metal1</vt:lpstr>
      <vt:lpstr>metalnew</vt:lpstr>
      <vt:lpstr>paper1</vt:lpstr>
      <vt:lpstr>paper2</vt:lpstr>
      <vt:lpstr>placement1</vt:lpstr>
      <vt:lpstr>'Animal Materials or Ingredients'!Print_Area</vt:lpstr>
      <vt:lpstr>'Candles (CN)'!Print_Area</vt:lpstr>
      <vt:lpstr>Instructions!Print_Area</vt:lpstr>
      <vt:lpstr>'TSCA - Required, All Chemicals'!Print_Area</vt:lpstr>
      <vt:lpstr>'Wood and Plant Materials'!Print_Area</vt:lpstr>
      <vt:lpstr>'Product Details'!Print_Titles</vt:lpstr>
      <vt:lpstr>Unit</vt:lpstr>
      <vt:lpstr>'Wood and Plant Materials'!USDADiameter</vt:lpstr>
      <vt:lpstr>'Wood and Plant Materials'!USDAUoM</vt:lpstr>
      <vt:lpstr>Wood</vt:lpstr>
      <vt:lpstr>wood1</vt:lpstr>
    </vt:vector>
  </TitlesOfParts>
  <Manager/>
  <Company>The TJX Companies,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Alexandrou, Stella</dc:creator>
  <cp:keywords/>
  <dc:description/>
  <cp:lastModifiedBy>Vetali Mittal</cp:lastModifiedBy>
  <cp:revision/>
  <cp:lastPrinted>2024-10-11T19:01:52Z</cp:lastPrinted>
  <dcterms:created xsi:type="dcterms:W3CDTF">2013-02-26T22:34:43Z</dcterms:created>
  <dcterms:modified xsi:type="dcterms:W3CDTF">2025-11-03T09:07:11Z</dcterms:modified>
  <cp:category>Product 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0x01010041BD4C1B0E8935448DFEA93D61D94FDD</vt:lpwstr>
  </property>
  <property fmtid="{D5CDD505-2E9C-101B-9397-08002B2CF9AE}" pid="3" name="TJXRecordClass">
    <vt:lpwstr/>
  </property>
  <property fmtid="{D5CDD505-2E9C-101B-9397-08002B2CF9AE}" pid="4" name="_dlc_policyId">
    <vt:lpwstr>0x01010041BD4C1B0E8935448DFEA93D61D94FDD|-990542427</vt:lpwstr>
  </property>
  <property fmtid="{D5CDD505-2E9C-101B-9397-08002B2CF9AE}" pid="5" name="ItemRetentionFormula">
    <vt:lpwstr>&lt;formula id="Microsoft.Office.RecordsManagement.PolicyFeatures.Expiration.Formula.BuiltIn"&gt;&lt;number&gt;20&lt;/number&gt;&lt;property&gt;Created&lt;/property&gt;&lt;propertyId&gt;8c06beca-0777-48f7-91c7-6da68bc07b69&lt;/propertyId&gt;&lt;period&gt;years&lt;/period&gt;&lt;/formula&gt;</vt:lpwstr>
  </property>
  <property fmtid="{D5CDD505-2E9C-101B-9397-08002B2CF9AE}" pid="6" name="MediaServiceImageTags">
    <vt:lpwstr/>
  </property>
</Properties>
</file>